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icrogrid_MP/Outputs/1. Budget/Grid Search/Output Files/400000/"/>
    </mc:Choice>
  </mc:AlternateContent>
  <xr:revisionPtr revIDLastSave="22" documentId="11_D98D9E9E0EF577D3B1590DB71F8E8E45310C9414" xr6:coauthVersionLast="47" xr6:coauthVersionMax="47" xr10:uidLastSave="{5B5B6A81-3CE4-41DE-ABE1-FE83CB73E5F0}"/>
  <bookViews>
    <workbookView xWindow="-110" yWindow="-110" windowWidth="19420" windowHeight="10420" xr2:uid="{00000000-000D-0000-FFFF-FFFF00000000}"/>
  </bookViews>
  <sheets>
    <sheet name="Summary" sheetId="1" r:id="rId1"/>
    <sheet name="Costs and Revenues" sheetId="2" r:id="rId2"/>
    <sheet name="Connected Households" sheetId="3" r:id="rId3"/>
    <sheet name="Installed Capacities" sheetId="4" r:id="rId4"/>
    <sheet name="Added Capacities" sheetId="5" r:id="rId5"/>
    <sheet name="Retired Capacities" sheetId="6" r:id="rId6"/>
    <sheet name="DG Dispatch" sheetId="7" r:id="rId7"/>
    <sheet name="PV Dispatch" sheetId="8" r:id="rId8"/>
    <sheet name="Battery Input " sheetId="9" r:id="rId9"/>
    <sheet name="Battery Output" sheetId="10" r:id="rId10"/>
    <sheet name="State of Charge" sheetId="11" r:id="rId11"/>
    <sheet name="Fed-in Capacity" sheetId="12" r:id="rId12"/>
    <sheet name="Yearly demand" sheetId="13" r:id="rId13"/>
    <sheet name="Net demand" sheetId="14" r:id="rId14"/>
    <sheet name="Net surplus" sheetId="15" r:id="rId15"/>
    <sheet name="Unmet Demand" sheetId="16" r:id="rId16"/>
    <sheet name="Household Surplus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Z47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3" i="15"/>
  <c r="Z4" i="15"/>
  <c r="Z2" i="15"/>
  <c r="D8" i="1"/>
  <c r="Z47" i="13"/>
  <c r="Z5" i="13"/>
  <c r="Z6" i="13"/>
  <c r="Z7" i="13"/>
  <c r="Z8" i="13"/>
  <c r="Z9" i="13"/>
  <c r="Z10" i="13"/>
  <c r="Z11" i="13"/>
  <c r="Z12" i="13"/>
  <c r="Z13" i="13"/>
  <c r="Z14" i="13"/>
  <c r="Z15" i="13"/>
  <c r="Z16" i="13"/>
  <c r="Z17" i="13"/>
  <c r="Z18" i="13"/>
  <c r="Z19" i="13"/>
  <c r="Z20" i="13"/>
  <c r="Z21" i="13"/>
  <c r="Z22" i="13"/>
  <c r="Z23" i="13"/>
  <c r="Z24" i="13"/>
  <c r="Z25" i="13"/>
  <c r="Z26" i="13"/>
  <c r="Z27" i="13"/>
  <c r="Z28" i="13"/>
  <c r="Z29" i="13"/>
  <c r="Z30" i="13"/>
  <c r="Z31" i="13"/>
  <c r="Z32" i="13"/>
  <c r="Z33" i="13"/>
  <c r="Z34" i="13"/>
  <c r="Z35" i="13"/>
  <c r="Z36" i="13"/>
  <c r="Z37" i="13"/>
  <c r="Z38" i="13"/>
  <c r="Z39" i="13"/>
  <c r="Z40" i="13"/>
  <c r="Z41" i="13"/>
  <c r="Z42" i="13"/>
  <c r="Z43" i="13"/>
  <c r="Z44" i="13"/>
  <c r="Z45" i="13"/>
  <c r="Z46" i="13"/>
  <c r="Z4" i="13"/>
  <c r="Z3" i="13"/>
  <c r="Z2" i="13"/>
</calcChain>
</file>

<file path=xl/sharedStrings.xml><?xml version="1.0" encoding="utf-8"?>
<sst xmlns="http://schemas.openxmlformats.org/spreadsheetml/2006/main" count="479" uniqueCount="68">
  <si>
    <t>Interest Rate</t>
  </si>
  <si>
    <t>Unmet Demand Penalty</t>
  </si>
  <si>
    <t>Required Level of Met Demand</t>
  </si>
  <si>
    <t>Minimum Feed-in %</t>
  </si>
  <si>
    <t>NPV</t>
  </si>
  <si>
    <t>Wasted Prosumer Surplus</t>
  </si>
  <si>
    <t>Unmet Demand</t>
  </si>
  <si>
    <t>VoLL</t>
  </si>
  <si>
    <t>Household Surplus</t>
  </si>
  <si>
    <t>Day Weights</t>
  </si>
  <si>
    <t>199, 106, 60</t>
  </si>
  <si>
    <t>Total Revenues</t>
  </si>
  <si>
    <t>Total Capital Costs</t>
  </si>
  <si>
    <t>Total Operation Variable Costs</t>
  </si>
  <si>
    <t>Total Operation Fixed Costs</t>
  </si>
  <si>
    <t>Total Profits</t>
  </si>
  <si>
    <t>Number Connected</t>
  </si>
  <si>
    <t>Consumers</t>
  </si>
  <si>
    <t>Prosumers</t>
  </si>
  <si>
    <t>Diesel Generator</t>
  </si>
  <si>
    <t>Owned PV</t>
  </si>
  <si>
    <t>Owned Batteries</t>
  </si>
  <si>
    <t>0.0</t>
  </si>
  <si>
    <t>0.1</t>
  </si>
  <si>
    <t>0.2</t>
  </si>
  <si>
    <t>1.0</t>
  </si>
  <si>
    <t>1.1</t>
  </si>
  <si>
    <t>1.2</t>
  </si>
  <si>
    <t>2.0</t>
  </si>
  <si>
    <t>2.1</t>
  </si>
  <si>
    <t>2.2</t>
  </si>
  <si>
    <t>3.0</t>
  </si>
  <si>
    <t>3.1</t>
  </si>
  <si>
    <t>3.2</t>
  </si>
  <si>
    <t>4.0</t>
  </si>
  <si>
    <t>4.1</t>
  </si>
  <si>
    <t>4.2</t>
  </si>
  <si>
    <t>5.0</t>
  </si>
  <si>
    <t>5.1</t>
  </si>
  <si>
    <t>5.2</t>
  </si>
  <si>
    <t>6.0</t>
  </si>
  <si>
    <t>6.1</t>
  </si>
  <si>
    <t>6.2</t>
  </si>
  <si>
    <t>7.0</t>
  </si>
  <si>
    <t>7.1</t>
  </si>
  <si>
    <t>7.2</t>
  </si>
  <si>
    <t>8.0</t>
  </si>
  <si>
    <t>8.1</t>
  </si>
  <si>
    <t>8.2</t>
  </si>
  <si>
    <t>9.0</t>
  </si>
  <si>
    <t>9.1</t>
  </si>
  <si>
    <t>9.2</t>
  </si>
  <si>
    <t>10.0</t>
  </si>
  <si>
    <t>10.1</t>
  </si>
  <si>
    <t>10.2</t>
  </si>
  <si>
    <t>11.0</t>
  </si>
  <si>
    <t>11.1</t>
  </si>
  <si>
    <t>11.2</t>
  </si>
  <si>
    <t>12.0</t>
  </si>
  <si>
    <t>12.1</t>
  </si>
  <si>
    <t>12.2</t>
  </si>
  <si>
    <t>13.0</t>
  </si>
  <si>
    <t>13.1</t>
  </si>
  <si>
    <t>13.2</t>
  </si>
  <si>
    <t>14.0</t>
  </si>
  <si>
    <t>14.1</t>
  </si>
  <si>
    <t>14.2</t>
  </si>
  <si>
    <t>surplus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</si>
</sst>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tabSelected="1" workbookViewId="0">
      <selection activeCell="D8" sqref="D8"/>
    </sheetView>
  </sheetViews>
  <sheetFormatPr defaultRowHeight="14.5" x14ac:dyDescent="0.35"/>
  <cols>
    <col min="1" max="1" width="27" bestFit="1" customWidth="1"/>
    <col min="2" max="2" width="11.81640625" bestFit="1" customWidth="1"/>
  </cols>
  <sheetData>
    <row r="1" spans="1:4" x14ac:dyDescent="0.35">
      <c r="B1" s="1">
        <v>0</v>
      </c>
    </row>
    <row r="2" spans="1:4" x14ac:dyDescent="0.35">
      <c r="A2" s="1" t="s">
        <v>0</v>
      </c>
      <c r="B2">
        <v>0.1</v>
      </c>
    </row>
    <row r="3" spans="1:4" x14ac:dyDescent="0.35">
      <c r="A3" s="1" t="s">
        <v>1</v>
      </c>
      <c r="B3">
        <v>0</v>
      </c>
    </row>
    <row r="4" spans="1:4" x14ac:dyDescent="0.35">
      <c r="A4" s="1" t="s">
        <v>2</v>
      </c>
      <c r="B4">
        <v>0</v>
      </c>
    </row>
    <row r="5" spans="1:4" x14ac:dyDescent="0.35">
      <c r="A5" s="1" t="s">
        <v>3</v>
      </c>
      <c r="B5">
        <v>0</v>
      </c>
    </row>
    <row r="6" spans="1:4" x14ac:dyDescent="0.35">
      <c r="A6" s="1" t="s">
        <v>4</v>
      </c>
      <c r="B6">
        <v>3869460.317065727</v>
      </c>
    </row>
    <row r="7" spans="1:4" x14ac:dyDescent="0.35">
      <c r="A7" s="1" t="s">
        <v>5</v>
      </c>
      <c r="B7">
        <v>305600.55813685828</v>
      </c>
      <c r="C7">
        <v>13476767.256909093</v>
      </c>
      <c r="D7">
        <f>B7/C7</f>
        <v>2.2676102681834693E-2</v>
      </c>
    </row>
    <row r="8" spans="1:4" x14ac:dyDescent="0.35">
      <c r="A8" s="1" t="s">
        <v>6</v>
      </c>
      <c r="B8">
        <v>2328050.4746679021</v>
      </c>
      <c r="C8">
        <v>30789066.369910646</v>
      </c>
      <c r="D8">
        <f>B8/C8</f>
        <v>7.5612896042312125E-2</v>
      </c>
    </row>
    <row r="9" spans="1:4" x14ac:dyDescent="0.35">
      <c r="A9" s="1" t="s">
        <v>7</v>
      </c>
      <c r="B9">
        <v>0.7</v>
      </c>
    </row>
    <row r="10" spans="1:4" x14ac:dyDescent="0.35">
      <c r="A10" s="1" t="s">
        <v>8</v>
      </c>
      <c r="B10">
        <v>6616537.7501149625</v>
      </c>
    </row>
    <row r="11" spans="1:4" x14ac:dyDescent="0.35">
      <c r="A11" s="1" t="s">
        <v>9</v>
      </c>
      <c r="B11" t="s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"/>
  <sheetViews>
    <sheetView workbookViewId="0"/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11</v>
      </c>
      <c r="B2">
        <v>821041.76986428327</v>
      </c>
      <c r="C2">
        <v>821041.76986428304</v>
      </c>
      <c r="D2">
        <v>821041.76986428315</v>
      </c>
      <c r="E2">
        <v>692227.99928858096</v>
      </c>
      <c r="F2">
        <v>692227.9992885812</v>
      </c>
      <c r="G2">
        <v>768339.58907858434</v>
      </c>
      <c r="H2">
        <v>768339.58907858445</v>
      </c>
      <c r="I2">
        <v>768339.58907858434</v>
      </c>
      <c r="J2">
        <v>728080.43031046784</v>
      </c>
      <c r="K2">
        <v>768008.69011212117</v>
      </c>
      <c r="L2">
        <v>821041.76986428397</v>
      </c>
      <c r="M2">
        <v>821041.76986428397</v>
      </c>
      <c r="N2">
        <v>821041.76986428315</v>
      </c>
      <c r="O2">
        <v>667158.05005406064</v>
      </c>
      <c r="P2">
        <v>605433.80262182327</v>
      </c>
    </row>
    <row r="3" spans="1:16" x14ac:dyDescent="0.35">
      <c r="A3" s="1" t="s">
        <v>12</v>
      </c>
      <c r="B3">
        <v>80769.431531547729</v>
      </c>
      <c r="C3">
        <v>0</v>
      </c>
      <c r="D3">
        <v>0</v>
      </c>
      <c r="E3">
        <v>228737.14068986831</v>
      </c>
      <c r="F3">
        <v>0</v>
      </c>
      <c r="G3">
        <v>58784.741327435833</v>
      </c>
      <c r="H3">
        <v>0</v>
      </c>
      <c r="I3">
        <v>0</v>
      </c>
      <c r="J3">
        <v>137454.35200320429</v>
      </c>
      <c r="K3">
        <v>26752.60288218033</v>
      </c>
      <c r="L3">
        <v>63571.983948370122</v>
      </c>
      <c r="M3">
        <v>31091.363306452771</v>
      </c>
      <c r="N3">
        <v>0</v>
      </c>
      <c r="O3">
        <v>0</v>
      </c>
      <c r="P3">
        <v>0</v>
      </c>
    </row>
    <row r="4" spans="1:16" x14ac:dyDescent="0.35">
      <c r="A4" s="1" t="s">
        <v>13</v>
      </c>
      <c r="B4">
        <v>279125.06013216329</v>
      </c>
      <c r="C4">
        <v>279125.06013216329</v>
      </c>
      <c r="D4">
        <v>279125.06013216329</v>
      </c>
      <c r="E4">
        <v>164608.54196427009</v>
      </c>
      <c r="F4">
        <v>164608.54196427009</v>
      </c>
      <c r="G4">
        <v>197496.49290945061</v>
      </c>
      <c r="H4">
        <v>197496.49290945049</v>
      </c>
      <c r="I4">
        <v>197496.4929094504</v>
      </c>
      <c r="J4">
        <v>174671.4212333748</v>
      </c>
      <c r="K4">
        <v>197308.67379186751</v>
      </c>
      <c r="L4">
        <v>227463.92459647759</v>
      </c>
      <c r="M4">
        <v>227463.92459647759</v>
      </c>
      <c r="N4">
        <v>227463.92459647759</v>
      </c>
      <c r="O4">
        <v>150265.3583413015</v>
      </c>
      <c r="P4">
        <v>114952.6320502654</v>
      </c>
    </row>
    <row r="5" spans="1:16" x14ac:dyDescent="0.35">
      <c r="A5" s="1" t="s">
        <v>14</v>
      </c>
      <c r="B5">
        <v>48281.268763761669</v>
      </c>
      <c r="C5">
        <v>48281.268763761669</v>
      </c>
      <c r="D5">
        <v>48281.268763761669</v>
      </c>
      <c r="E5">
        <v>35336.986705865711</v>
      </c>
      <c r="F5">
        <v>35336.986705865711</v>
      </c>
      <c r="G5">
        <v>45228.091705505212</v>
      </c>
      <c r="H5">
        <v>45228.091705505198</v>
      </c>
      <c r="I5">
        <v>45228.091705505198</v>
      </c>
      <c r="J5">
        <v>42393.462544301852</v>
      </c>
      <c r="K5">
        <v>45204.793258929378</v>
      </c>
      <c r="L5">
        <v>49050.705495920411</v>
      </c>
      <c r="M5">
        <v>49050.705495920411</v>
      </c>
      <c r="N5">
        <v>49050.705495920411</v>
      </c>
      <c r="O5">
        <v>34176.400152242888</v>
      </c>
      <c r="P5">
        <v>31365.06943761537</v>
      </c>
    </row>
    <row r="6" spans="1:16" x14ac:dyDescent="0.35">
      <c r="A6" s="1" t="s">
        <v>15</v>
      </c>
      <c r="B6">
        <v>412866.00943681062</v>
      </c>
      <c r="C6">
        <v>493635.44096835802</v>
      </c>
      <c r="D6">
        <v>493635.44096835807</v>
      </c>
      <c r="E6">
        <v>263545.32992857677</v>
      </c>
      <c r="F6">
        <v>492282.47061844543</v>
      </c>
      <c r="G6">
        <v>466830.26313619269</v>
      </c>
      <c r="H6">
        <v>525615.00446362898</v>
      </c>
      <c r="I6">
        <v>525615.00446362875</v>
      </c>
      <c r="J6">
        <v>373561.19452958688</v>
      </c>
      <c r="K6">
        <v>498742.62017914403</v>
      </c>
      <c r="L6">
        <v>480955.15582351579</v>
      </c>
      <c r="M6">
        <v>513435.7764654333</v>
      </c>
      <c r="N6">
        <v>544527.13977188512</v>
      </c>
      <c r="O6">
        <v>482716.29156051629</v>
      </c>
      <c r="P6">
        <v>459116.10113394249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/>
  </sheetViews>
  <sheetFormatPr defaultRowHeight="14.5" x14ac:dyDescent="0.35"/>
  <sheetData>
    <row r="1" spans="1:2" x14ac:dyDescent="0.35">
      <c r="B1" s="1" t="s">
        <v>16</v>
      </c>
    </row>
    <row r="2" spans="1:2" x14ac:dyDescent="0.35">
      <c r="A2" s="1" t="s">
        <v>17</v>
      </c>
      <c r="B2">
        <v>400</v>
      </c>
    </row>
    <row r="3" spans="1:2" x14ac:dyDescent="0.35">
      <c r="A3" s="1" t="s">
        <v>18</v>
      </c>
      <c r="B3">
        <v>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workbookViewId="0"/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19</v>
      </c>
      <c r="B2">
        <v>400</v>
      </c>
      <c r="C2">
        <v>400</v>
      </c>
      <c r="D2">
        <v>400</v>
      </c>
      <c r="E2">
        <v>126.71090017063069</v>
      </c>
      <c r="F2">
        <v>126.71090017063069</v>
      </c>
      <c r="G2">
        <v>160.42878858613909</v>
      </c>
      <c r="H2">
        <v>160.42878858613901</v>
      </c>
      <c r="I2">
        <v>160.42878858613901</v>
      </c>
      <c r="J2">
        <v>126.71090017063069</v>
      </c>
      <c r="K2">
        <v>160.15165377335609</v>
      </c>
      <c r="L2">
        <v>205.8987452933103</v>
      </c>
      <c r="M2">
        <v>205.89874529331041</v>
      </c>
      <c r="N2">
        <v>205.89874529331041</v>
      </c>
      <c r="O2">
        <v>112.905733538188</v>
      </c>
      <c r="P2">
        <v>79.464979935462594</v>
      </c>
    </row>
    <row r="3" spans="1:16" x14ac:dyDescent="0.35">
      <c r="A3" s="1" t="s">
        <v>20</v>
      </c>
      <c r="B3">
        <v>0</v>
      </c>
      <c r="C3">
        <v>0</v>
      </c>
      <c r="D3">
        <v>0</v>
      </c>
      <c r="E3">
        <v>112.1691402856173</v>
      </c>
      <c r="F3">
        <v>112.1691402856173</v>
      </c>
      <c r="G3">
        <v>112.1691402856173</v>
      </c>
      <c r="H3">
        <v>112.1691402856173</v>
      </c>
      <c r="I3">
        <v>112.1691402856173</v>
      </c>
      <c r="J3">
        <v>112.1691402856173</v>
      </c>
      <c r="K3">
        <v>112.1691402856173</v>
      </c>
      <c r="L3">
        <v>112.1691402856173</v>
      </c>
      <c r="M3">
        <v>112.1691402856173</v>
      </c>
      <c r="N3">
        <v>112.1691402856173</v>
      </c>
      <c r="O3">
        <v>112.1691402856173</v>
      </c>
      <c r="P3">
        <v>112.1691402856173</v>
      </c>
    </row>
    <row r="4" spans="1:16" x14ac:dyDescent="0.35">
      <c r="A4" s="1" t="s">
        <v>21</v>
      </c>
      <c r="B4">
        <v>241.01428887765911</v>
      </c>
      <c r="C4">
        <v>241.01428887765911</v>
      </c>
      <c r="D4">
        <v>241.01428887765911</v>
      </c>
      <c r="E4">
        <v>365.77698653280419</v>
      </c>
      <c r="F4">
        <v>365.77698653280419</v>
      </c>
      <c r="G4">
        <v>481.83744440181943</v>
      </c>
      <c r="H4">
        <v>481.83744440181943</v>
      </c>
      <c r="I4">
        <v>481.83744440181943</v>
      </c>
      <c r="J4">
        <v>481.83744440181982</v>
      </c>
      <c r="K4">
        <v>481.83744440181982</v>
      </c>
      <c r="L4">
        <v>481.83744440181982</v>
      </c>
      <c r="M4">
        <v>481.83744440181971</v>
      </c>
      <c r="N4">
        <v>481.83744440181971</v>
      </c>
      <c r="O4">
        <v>365.77698653280441</v>
      </c>
      <c r="P4">
        <v>365.77698653280441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"/>
  <sheetViews>
    <sheetView workbookViewId="0"/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19</v>
      </c>
      <c r="B2">
        <v>0</v>
      </c>
      <c r="C2">
        <v>0</v>
      </c>
      <c r="D2">
        <v>0</v>
      </c>
      <c r="E2">
        <v>126.71090017063069</v>
      </c>
      <c r="F2">
        <v>0</v>
      </c>
      <c r="G2">
        <v>33.717888415508412</v>
      </c>
      <c r="H2">
        <v>0</v>
      </c>
      <c r="I2">
        <v>0</v>
      </c>
      <c r="J2">
        <v>92.993011755122453</v>
      </c>
      <c r="K2">
        <v>33.440753602725408</v>
      </c>
      <c r="L2">
        <v>79.464979935462651</v>
      </c>
      <c r="M2">
        <v>0</v>
      </c>
      <c r="N2">
        <v>0</v>
      </c>
      <c r="O2">
        <v>0</v>
      </c>
      <c r="P2">
        <v>0</v>
      </c>
    </row>
    <row r="3" spans="1:16" x14ac:dyDescent="0.35">
      <c r="A3" s="1" t="s">
        <v>20</v>
      </c>
      <c r="B3">
        <v>0</v>
      </c>
      <c r="C3">
        <v>0</v>
      </c>
      <c r="D3">
        <v>0</v>
      </c>
      <c r="E3">
        <v>112.1691402856173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5">
      <c r="A4" s="1" t="s">
        <v>21</v>
      </c>
      <c r="B4">
        <v>241.01428887765911</v>
      </c>
      <c r="C4">
        <v>0</v>
      </c>
      <c r="D4">
        <v>0</v>
      </c>
      <c r="E4">
        <v>124.7626976551452</v>
      </c>
      <c r="F4">
        <v>0</v>
      </c>
      <c r="G4">
        <v>116.06045786901539</v>
      </c>
      <c r="H4">
        <v>0</v>
      </c>
      <c r="I4">
        <v>0</v>
      </c>
      <c r="J4">
        <v>241.0142888776594</v>
      </c>
      <c r="K4">
        <v>0</v>
      </c>
      <c r="L4">
        <v>0</v>
      </c>
      <c r="M4">
        <v>124.7626976551451</v>
      </c>
      <c r="N4">
        <v>0</v>
      </c>
      <c r="O4">
        <v>0</v>
      </c>
      <c r="P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"/>
  <sheetViews>
    <sheetView workbookViewId="0"/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19</v>
      </c>
      <c r="B2">
        <v>0</v>
      </c>
      <c r="C2">
        <v>0</v>
      </c>
      <c r="D2">
        <v>0</v>
      </c>
      <c r="E2">
        <v>400</v>
      </c>
      <c r="F2">
        <v>0</v>
      </c>
      <c r="G2">
        <v>0</v>
      </c>
      <c r="H2">
        <v>0</v>
      </c>
      <c r="I2">
        <v>0</v>
      </c>
      <c r="J2">
        <v>126.71090017063069</v>
      </c>
      <c r="K2">
        <v>0</v>
      </c>
      <c r="L2">
        <v>33.717888415508412</v>
      </c>
      <c r="M2">
        <v>0</v>
      </c>
      <c r="N2">
        <v>0</v>
      </c>
      <c r="O2">
        <v>92.993011755122453</v>
      </c>
      <c r="P2">
        <v>33.440753602725408</v>
      </c>
    </row>
    <row r="3" spans="1:16" x14ac:dyDescent="0.35">
      <c r="A3" s="1" t="s">
        <v>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5">
      <c r="A4" s="1" t="s">
        <v>21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241.01428887765911</v>
      </c>
      <c r="K4">
        <v>0</v>
      </c>
      <c r="L4">
        <v>0</v>
      </c>
      <c r="M4">
        <v>124.7626976551452</v>
      </c>
      <c r="N4">
        <v>0</v>
      </c>
      <c r="O4">
        <v>116.06045786901539</v>
      </c>
      <c r="P4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382.73384166348058</v>
      </c>
      <c r="C2">
        <v>365.27289177100761</v>
      </c>
      <c r="D2">
        <v>354.68304162068301</v>
      </c>
      <c r="E2">
        <v>140.9160811946027</v>
      </c>
      <c r="F2">
        <v>219.88409682794929</v>
      </c>
      <c r="G2">
        <v>400</v>
      </c>
      <c r="H2">
        <v>339.47480211576709</v>
      </c>
      <c r="I2">
        <v>210.47588957040591</v>
      </c>
      <c r="J2">
        <v>11.949289354612519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149.86911794114971</v>
      </c>
      <c r="S2">
        <v>209.02006958624531</v>
      </c>
      <c r="T2">
        <v>223.09584956413141</v>
      </c>
      <c r="U2">
        <v>251.3456529078365</v>
      </c>
      <c r="V2">
        <v>327.7522584701349</v>
      </c>
      <c r="W2">
        <v>108.226679839754</v>
      </c>
      <c r="X2">
        <v>128.71681180081001</v>
      </c>
      <c r="Y2">
        <v>386.23793865605359</v>
      </c>
    </row>
    <row r="3" spans="1:25" x14ac:dyDescent="0.35">
      <c r="A3" s="1" t="s">
        <v>23</v>
      </c>
      <c r="B3">
        <v>166.53318364986731</v>
      </c>
      <c r="C3">
        <v>172.70849898831571</v>
      </c>
      <c r="D3">
        <v>147.44506556463881</v>
      </c>
      <c r="E3">
        <v>157.64508045540089</v>
      </c>
      <c r="F3">
        <v>145.06921239338391</v>
      </c>
      <c r="G3">
        <v>137.34351716321061</v>
      </c>
      <c r="H3">
        <v>112.23544423649651</v>
      </c>
      <c r="I3">
        <v>89.396632851415077</v>
      </c>
      <c r="J3">
        <v>0.74659132625785674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247.1144340662031</v>
      </c>
      <c r="X3">
        <v>205.7729852034775</v>
      </c>
      <c r="Y3">
        <v>205.68269577730439</v>
      </c>
    </row>
    <row r="4" spans="1:25" x14ac:dyDescent="0.35">
      <c r="A4" s="1" t="s">
        <v>24</v>
      </c>
      <c r="B4">
        <v>179.8319801819373</v>
      </c>
      <c r="C4">
        <v>167.24682109862781</v>
      </c>
      <c r="D4">
        <v>148.61547301821241</v>
      </c>
      <c r="E4">
        <v>146.4339626465692</v>
      </c>
      <c r="F4">
        <v>145.42104802293119</v>
      </c>
      <c r="G4">
        <v>167.99097935845879</v>
      </c>
      <c r="H4">
        <v>162.2271725074396</v>
      </c>
      <c r="I4">
        <v>155.45047492725831</v>
      </c>
      <c r="J4">
        <v>93.359180116672775</v>
      </c>
      <c r="K4">
        <v>22.269491825882849</v>
      </c>
      <c r="L4">
        <v>0</v>
      </c>
      <c r="M4">
        <v>0</v>
      </c>
      <c r="N4">
        <v>0</v>
      </c>
      <c r="O4">
        <v>0</v>
      </c>
      <c r="P4">
        <v>2.721440735106512</v>
      </c>
      <c r="Q4">
        <v>86.162043251694385</v>
      </c>
      <c r="R4">
        <v>177.29339137716951</v>
      </c>
      <c r="S4">
        <v>224.01659803697231</v>
      </c>
      <c r="T4">
        <v>227.94558942828149</v>
      </c>
      <c r="U4">
        <v>286.31902935649089</v>
      </c>
      <c r="V4">
        <v>252.137643323828</v>
      </c>
      <c r="W4">
        <v>153.33603075122301</v>
      </c>
      <c r="X4">
        <v>225.70965538903721</v>
      </c>
      <c r="Y4">
        <v>218.58465335209479</v>
      </c>
    </row>
    <row r="5" spans="1:25" x14ac:dyDescent="0.35">
      <c r="A5" s="1" t="s">
        <v>25</v>
      </c>
      <c r="B5">
        <v>382.73384166348058</v>
      </c>
      <c r="C5">
        <v>365.27289177100761</v>
      </c>
      <c r="D5">
        <v>354.68304162068301</v>
      </c>
      <c r="E5">
        <v>381.93037007226178</v>
      </c>
      <c r="F5">
        <v>165.86175686405241</v>
      </c>
      <c r="G5">
        <v>174.28844863747599</v>
      </c>
      <c r="H5">
        <v>339.47480211576709</v>
      </c>
      <c r="I5">
        <v>210.47588957040591</v>
      </c>
      <c r="J5">
        <v>11.949289354612519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9.9906992145448044</v>
      </c>
      <c r="R5">
        <v>149.86911794114971</v>
      </c>
      <c r="S5">
        <v>209.02006958624531</v>
      </c>
      <c r="T5">
        <v>223.09584956413141</v>
      </c>
      <c r="U5">
        <v>251.3456529078365</v>
      </c>
      <c r="V5">
        <v>86.737969592475849</v>
      </c>
      <c r="W5">
        <v>349.24096871741301</v>
      </c>
      <c r="X5">
        <v>157.44571503502689</v>
      </c>
      <c r="Y5">
        <v>386.23793865605359</v>
      </c>
    </row>
    <row r="6" spans="1:25" x14ac:dyDescent="0.35">
      <c r="A6" s="1" t="s">
        <v>26</v>
      </c>
      <c r="B6">
        <v>166.53318364986731</v>
      </c>
      <c r="C6">
        <v>0</v>
      </c>
      <c r="D6">
        <v>147.44506556463881</v>
      </c>
      <c r="E6">
        <v>157.64508045540089</v>
      </c>
      <c r="F6">
        <v>0</v>
      </c>
      <c r="G6">
        <v>137.34351716321061</v>
      </c>
      <c r="H6">
        <v>34.072611747407578</v>
      </c>
      <c r="I6">
        <v>89.396632851415077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171.68317110383779</v>
      </c>
      <c r="T6">
        <v>200.1647286948216</v>
      </c>
      <c r="U6">
        <v>225.94138208097479</v>
      </c>
      <c r="V6">
        <v>0</v>
      </c>
      <c r="W6">
        <v>251.69498316091961</v>
      </c>
      <c r="X6">
        <v>205.7729852034775</v>
      </c>
      <c r="Y6">
        <v>0</v>
      </c>
    </row>
    <row r="7" spans="1:25" x14ac:dyDescent="0.35">
      <c r="A7" s="1" t="s">
        <v>27</v>
      </c>
      <c r="B7">
        <v>179.8319801819373</v>
      </c>
      <c r="C7">
        <v>167.24682109862781</v>
      </c>
      <c r="D7">
        <v>148.61547301821241</v>
      </c>
      <c r="E7">
        <v>146.4339626465692</v>
      </c>
      <c r="F7">
        <v>145.42104802293119</v>
      </c>
      <c r="G7">
        <v>167.99097935845879</v>
      </c>
      <c r="H7">
        <v>162.2271725074396</v>
      </c>
      <c r="I7">
        <v>155.45047492725831</v>
      </c>
      <c r="J7">
        <v>93.359180116672775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86.162043251694385</v>
      </c>
      <c r="R7">
        <v>177.29339137716951</v>
      </c>
      <c r="S7">
        <v>224.01659803697231</v>
      </c>
      <c r="T7">
        <v>227.94558942828149</v>
      </c>
      <c r="U7">
        <v>286.31902935649089</v>
      </c>
      <c r="V7">
        <v>252.137643323828</v>
      </c>
      <c r="W7">
        <v>178.32696331221231</v>
      </c>
      <c r="X7">
        <v>225.70965538903721</v>
      </c>
      <c r="Y7">
        <v>218.58465335209479</v>
      </c>
    </row>
    <row r="8" spans="1:25" x14ac:dyDescent="0.35">
      <c r="A8" s="1" t="s">
        <v>28</v>
      </c>
      <c r="B8">
        <v>382.73384166348058</v>
      </c>
      <c r="C8">
        <v>365.27289177100761</v>
      </c>
      <c r="D8">
        <v>354.68304162068301</v>
      </c>
      <c r="E8">
        <v>191.58497299797691</v>
      </c>
      <c r="F8">
        <v>165.86175686405241</v>
      </c>
      <c r="G8">
        <v>174.28844863747599</v>
      </c>
      <c r="H8">
        <v>98.460513238108092</v>
      </c>
      <c r="I8">
        <v>210.47588957040591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149.86911794114971</v>
      </c>
      <c r="S8">
        <v>209.02006958624531</v>
      </c>
      <c r="T8">
        <v>223.09584956413141</v>
      </c>
      <c r="U8">
        <v>251.3456529078365</v>
      </c>
      <c r="V8">
        <v>327.7522584701349</v>
      </c>
      <c r="W8">
        <v>349.24096871741301</v>
      </c>
      <c r="X8">
        <v>369.73110067846898</v>
      </c>
      <c r="Y8">
        <v>386.23793865605359</v>
      </c>
    </row>
    <row r="9" spans="1:25" x14ac:dyDescent="0.35">
      <c r="A9" s="1" t="s">
        <v>29</v>
      </c>
      <c r="B9">
        <v>166.53318364986731</v>
      </c>
      <c r="C9">
        <v>172.70849898831571</v>
      </c>
      <c r="D9">
        <v>147.44506556463881</v>
      </c>
      <c r="E9">
        <v>157.64508045540089</v>
      </c>
      <c r="F9">
        <v>145.06921239338391</v>
      </c>
      <c r="G9">
        <v>137.34351716321061</v>
      </c>
      <c r="H9">
        <v>112.23544423649651</v>
      </c>
      <c r="I9">
        <v>89.396632851415077</v>
      </c>
      <c r="J9">
        <v>0.74659132625785674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171.68317110383779</v>
      </c>
      <c r="T9">
        <v>200.1647286948216</v>
      </c>
      <c r="U9">
        <v>0</v>
      </c>
      <c r="V9">
        <v>0</v>
      </c>
      <c r="W9">
        <v>251.69498316091961</v>
      </c>
      <c r="X9">
        <v>0</v>
      </c>
      <c r="Y9">
        <v>35.027232087405963</v>
      </c>
    </row>
    <row r="10" spans="1:25" x14ac:dyDescent="0.35">
      <c r="A10" s="1" t="s">
        <v>30</v>
      </c>
      <c r="B10">
        <v>179.8319801819373</v>
      </c>
      <c r="C10">
        <v>167.24682109862781</v>
      </c>
      <c r="D10">
        <v>148.61547301821241</v>
      </c>
      <c r="E10">
        <v>146.4339626465692</v>
      </c>
      <c r="F10">
        <v>145.42104802293119</v>
      </c>
      <c r="G10">
        <v>167.99097935845879</v>
      </c>
      <c r="H10">
        <v>162.2271725074396</v>
      </c>
      <c r="I10">
        <v>155.45047492725831</v>
      </c>
      <c r="J10">
        <v>93.359180116672775</v>
      </c>
      <c r="K10">
        <v>22.269491825882849</v>
      </c>
      <c r="L10">
        <v>0</v>
      </c>
      <c r="M10">
        <v>0</v>
      </c>
      <c r="N10">
        <v>0</v>
      </c>
      <c r="O10">
        <v>0</v>
      </c>
      <c r="P10">
        <v>0</v>
      </c>
      <c r="Q10">
        <v>86.162043251694385</v>
      </c>
      <c r="R10">
        <v>46.827864526907938</v>
      </c>
      <c r="S10">
        <v>224.01659803697231</v>
      </c>
      <c r="T10">
        <v>227.94558942828149</v>
      </c>
      <c r="U10">
        <v>286.31902935649089</v>
      </c>
      <c r="V10">
        <v>252.137643323828</v>
      </c>
      <c r="W10">
        <v>286.522998336591</v>
      </c>
      <c r="X10">
        <v>225.70965538903721</v>
      </c>
      <c r="Y10">
        <v>218.58465335209479</v>
      </c>
    </row>
    <row r="11" spans="1:25" x14ac:dyDescent="0.35">
      <c r="A11" s="1" t="s">
        <v>31</v>
      </c>
      <c r="B11">
        <v>126.71090017063069</v>
      </c>
      <c r="C11">
        <v>126.71090017063069</v>
      </c>
      <c r="D11">
        <v>126.71090017063069</v>
      </c>
      <c r="E11">
        <v>126.71090017063069</v>
      </c>
      <c r="F11">
        <v>126.71090017063069</v>
      </c>
      <c r="G11">
        <v>126.71090017063069</v>
      </c>
      <c r="H11">
        <v>126.71090017063069</v>
      </c>
      <c r="I11">
        <v>126.71090017063069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121.54330986691291</v>
      </c>
      <c r="S11">
        <v>126.71090017063069</v>
      </c>
      <c r="T11">
        <v>126.71090017063069</v>
      </c>
      <c r="U11">
        <v>126.71090017063069</v>
      </c>
      <c r="V11">
        <v>126.71090017063069</v>
      </c>
      <c r="W11">
        <v>126.71090017063069</v>
      </c>
      <c r="X11">
        <v>126.71090017063069</v>
      </c>
      <c r="Y11">
        <v>126.71090017063069</v>
      </c>
    </row>
    <row r="12" spans="1:25" x14ac:dyDescent="0.35">
      <c r="A12" s="1" t="s">
        <v>32</v>
      </c>
      <c r="B12">
        <v>108.2903584950199</v>
      </c>
      <c r="C12">
        <v>0</v>
      </c>
      <c r="D12">
        <v>126.71090017063069</v>
      </c>
      <c r="E12">
        <v>126.71090017063069</v>
      </c>
      <c r="F12">
        <v>126.71090017063069</v>
      </c>
      <c r="G12">
        <v>126.71090017063069</v>
      </c>
      <c r="H12">
        <v>109.90528907697831</v>
      </c>
      <c r="I12">
        <v>81.089767273659461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85.177962927329943</v>
      </c>
      <c r="S12">
        <v>126.71090017063069</v>
      </c>
      <c r="T12">
        <v>0</v>
      </c>
      <c r="U12">
        <v>126.71090017063069</v>
      </c>
      <c r="V12">
        <v>0</v>
      </c>
      <c r="W12">
        <v>126.71090017063069</v>
      </c>
      <c r="X12">
        <v>0</v>
      </c>
      <c r="Y12">
        <v>0</v>
      </c>
    </row>
    <row r="13" spans="1:25" x14ac:dyDescent="0.35">
      <c r="A13" s="1" t="s">
        <v>33</v>
      </c>
      <c r="B13">
        <v>126.71090017063069</v>
      </c>
      <c r="C13">
        <v>126.71090017063069</v>
      </c>
      <c r="D13">
        <v>126.71090017063069</v>
      </c>
      <c r="E13">
        <v>126.71090017063069</v>
      </c>
      <c r="F13">
        <v>126.71090017063069</v>
      </c>
      <c r="G13">
        <v>126.71090017063069</v>
      </c>
      <c r="H13">
        <v>126.71090017063069</v>
      </c>
      <c r="I13">
        <v>126.71090017063069</v>
      </c>
      <c r="J13">
        <v>126.71090017063069</v>
      </c>
      <c r="K13">
        <v>126.71090017063069</v>
      </c>
      <c r="L13">
        <v>126.71090017063069</v>
      </c>
      <c r="M13">
        <v>126.71090017063069</v>
      </c>
      <c r="N13">
        <v>126.71090017063069</v>
      </c>
      <c r="O13">
        <v>126.71090017063069</v>
      </c>
      <c r="P13">
        <v>126.71090017063069</v>
      </c>
      <c r="Q13">
        <v>126.71090017063069</v>
      </c>
      <c r="R13">
        <v>126.71090017063069</v>
      </c>
      <c r="S13">
        <v>126.71090017063069</v>
      </c>
      <c r="T13">
        <v>126.71090017063069</v>
      </c>
      <c r="U13">
        <v>126.71090017063069</v>
      </c>
      <c r="V13">
        <v>126.71090017063069</v>
      </c>
      <c r="W13">
        <v>126.71090017063069</v>
      </c>
      <c r="X13">
        <v>126.71090017063069</v>
      </c>
      <c r="Y13">
        <v>126.71090017063069</v>
      </c>
    </row>
    <row r="14" spans="1:25" x14ac:dyDescent="0.35">
      <c r="A14" s="1" t="s">
        <v>34</v>
      </c>
      <c r="B14">
        <v>126.71090017063069</v>
      </c>
      <c r="C14">
        <v>126.71090017063069</v>
      </c>
      <c r="D14">
        <v>126.71090017063069</v>
      </c>
      <c r="E14">
        <v>126.71090017063069</v>
      </c>
      <c r="F14">
        <v>126.71090017063069</v>
      </c>
      <c r="G14">
        <v>126.71090017063069</v>
      </c>
      <c r="H14">
        <v>126.71090017063069</v>
      </c>
      <c r="I14">
        <v>126.71090017063069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121.54330986691291</v>
      </c>
      <c r="S14">
        <v>126.71090017063069</v>
      </c>
      <c r="T14">
        <v>126.71090017063069</v>
      </c>
      <c r="U14">
        <v>126.71090017063069</v>
      </c>
      <c r="V14">
        <v>126.71090017063069</v>
      </c>
      <c r="W14">
        <v>126.71090017063069</v>
      </c>
      <c r="X14">
        <v>126.71090017063069</v>
      </c>
      <c r="Y14">
        <v>126.71090017063069</v>
      </c>
    </row>
    <row r="15" spans="1:25" x14ac:dyDescent="0.35">
      <c r="A15" s="1" t="s">
        <v>35</v>
      </c>
      <c r="B15">
        <v>0</v>
      </c>
      <c r="C15">
        <v>126.71090017063069</v>
      </c>
      <c r="D15">
        <v>0</v>
      </c>
      <c r="E15">
        <v>126.71090017063069</v>
      </c>
      <c r="F15">
        <v>126.71090017063069</v>
      </c>
      <c r="G15">
        <v>126.71090017063069</v>
      </c>
      <c r="H15">
        <v>109.90528907697831</v>
      </c>
      <c r="I15">
        <v>81.089767273659461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126.71090017063069</v>
      </c>
      <c r="T15">
        <v>126.71090017063069</v>
      </c>
      <c r="U15">
        <v>126.71090017063069</v>
      </c>
      <c r="V15">
        <v>0</v>
      </c>
      <c r="W15">
        <v>66.757421251719052</v>
      </c>
      <c r="X15">
        <v>0</v>
      </c>
      <c r="Y15">
        <v>126.71090017063069</v>
      </c>
    </row>
    <row r="16" spans="1:25" x14ac:dyDescent="0.35">
      <c r="A16" s="1" t="s">
        <v>36</v>
      </c>
      <c r="B16">
        <v>126.71090017063069</v>
      </c>
      <c r="C16">
        <v>126.71090017063069</v>
      </c>
      <c r="D16">
        <v>126.71090017063069</v>
      </c>
      <c r="E16">
        <v>126.71090017063069</v>
      </c>
      <c r="F16">
        <v>126.71090017063069</v>
      </c>
      <c r="G16">
        <v>126.71090017063069</v>
      </c>
      <c r="H16">
        <v>126.71090017063069</v>
      </c>
      <c r="I16">
        <v>126.71090017063069</v>
      </c>
      <c r="J16">
        <v>126.71090017063069</v>
      </c>
      <c r="K16">
        <v>126.71090017063069</v>
      </c>
      <c r="L16">
        <v>126.71090017063069</v>
      </c>
      <c r="M16">
        <v>126.71090017063069</v>
      </c>
      <c r="N16">
        <v>126.71090017063069</v>
      </c>
      <c r="O16">
        <v>126.71090017063069</v>
      </c>
      <c r="P16">
        <v>126.71090017063069</v>
      </c>
      <c r="Q16">
        <v>126.7109001706304</v>
      </c>
      <c r="R16">
        <v>126.71090017063069</v>
      </c>
      <c r="S16">
        <v>126.71090017063069</v>
      </c>
      <c r="T16">
        <v>126.71090017063069</v>
      </c>
      <c r="U16">
        <v>126.71090017063069</v>
      </c>
      <c r="V16">
        <v>126.71090017063069</v>
      </c>
      <c r="W16">
        <v>126.71090017063069</v>
      </c>
      <c r="X16">
        <v>126.71090017063069</v>
      </c>
      <c r="Y16">
        <v>126.71090017063069</v>
      </c>
    </row>
    <row r="17" spans="1:25" x14ac:dyDescent="0.35">
      <c r="A17" s="1" t="s">
        <v>37</v>
      </c>
      <c r="B17">
        <v>160.42878858613909</v>
      </c>
      <c r="C17">
        <v>160.42878858613909</v>
      </c>
      <c r="D17">
        <v>160.42878858613909</v>
      </c>
      <c r="E17">
        <v>160.42878858613909</v>
      </c>
      <c r="F17">
        <v>160.42878858613909</v>
      </c>
      <c r="G17">
        <v>160.42878858613909</v>
      </c>
      <c r="H17">
        <v>160.42878858613909</v>
      </c>
      <c r="I17">
        <v>160.42878858613909</v>
      </c>
      <c r="J17">
        <v>160.42878858613909</v>
      </c>
      <c r="K17">
        <v>0</v>
      </c>
      <c r="L17">
        <v>0</v>
      </c>
      <c r="M17">
        <v>0</v>
      </c>
      <c r="N17">
        <v>0</v>
      </c>
      <c r="O17">
        <v>0</v>
      </c>
      <c r="P17">
        <v>99.809464155505196</v>
      </c>
      <c r="Q17">
        <v>160.42878858613909</v>
      </c>
      <c r="R17">
        <v>160.42878858613909</v>
      </c>
      <c r="S17">
        <v>160.42878858613909</v>
      </c>
      <c r="T17">
        <v>160.42878858613909</v>
      </c>
      <c r="U17">
        <v>160.42878858613909</v>
      </c>
      <c r="V17">
        <v>160.42878858613909</v>
      </c>
      <c r="W17">
        <v>160.42878858613909</v>
      </c>
      <c r="X17">
        <v>160.42878858613909</v>
      </c>
      <c r="Y17">
        <v>160.42878858613909</v>
      </c>
    </row>
    <row r="18" spans="1:25" x14ac:dyDescent="0.35">
      <c r="A18" s="1" t="s">
        <v>38</v>
      </c>
      <c r="B18">
        <v>160.42878858613909</v>
      </c>
      <c r="C18">
        <v>160.42878858613909</v>
      </c>
      <c r="D18">
        <v>0</v>
      </c>
      <c r="E18">
        <v>157.64508045540089</v>
      </c>
      <c r="F18">
        <v>0</v>
      </c>
      <c r="G18">
        <v>137.10224769165291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85.177962927329943</v>
      </c>
      <c r="S18">
        <v>120.2493858226664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39</v>
      </c>
      <c r="B19">
        <v>160.42878858613909</v>
      </c>
      <c r="C19">
        <v>160.42878858613909</v>
      </c>
      <c r="D19">
        <v>148.61547301821241</v>
      </c>
      <c r="E19">
        <v>146.4339626465692</v>
      </c>
      <c r="F19">
        <v>145.42104802293119</v>
      </c>
      <c r="G19">
        <v>160.42878858613909</v>
      </c>
      <c r="H19">
        <v>160.42878858613909</v>
      </c>
      <c r="I19">
        <v>149.36759761472021</v>
      </c>
      <c r="J19">
        <v>79.05853414943924</v>
      </c>
      <c r="K19">
        <v>0</v>
      </c>
      <c r="L19">
        <v>0</v>
      </c>
      <c r="M19">
        <v>0</v>
      </c>
      <c r="N19">
        <v>116.2615077496735</v>
      </c>
      <c r="O19">
        <v>0</v>
      </c>
      <c r="P19">
        <v>160.42878858613909</v>
      </c>
      <c r="Q19">
        <v>160.42878858613909</v>
      </c>
      <c r="R19">
        <v>160.42878858613909</v>
      </c>
      <c r="S19">
        <v>160.42878858613909</v>
      </c>
      <c r="T19">
        <v>160.42878858613909</v>
      </c>
      <c r="U19">
        <v>160.42878858613909</v>
      </c>
      <c r="V19">
        <v>160.42878858613909</v>
      </c>
      <c r="W19">
        <v>160.42878858613909</v>
      </c>
      <c r="X19">
        <v>160.42878858613909</v>
      </c>
      <c r="Y19">
        <v>160.42878858613909</v>
      </c>
    </row>
    <row r="20" spans="1:25" x14ac:dyDescent="0.35">
      <c r="A20" s="1" t="s">
        <v>40</v>
      </c>
      <c r="B20">
        <v>160.42878858613901</v>
      </c>
      <c r="C20">
        <v>160.42878858613901</v>
      </c>
      <c r="D20">
        <v>160.42878858613901</v>
      </c>
      <c r="E20">
        <v>160.42878858613901</v>
      </c>
      <c r="F20">
        <v>160.42878858613901</v>
      </c>
      <c r="G20">
        <v>160.42878858613901</v>
      </c>
      <c r="H20">
        <v>160.42878858613901</v>
      </c>
      <c r="I20">
        <v>160.42878858613901</v>
      </c>
      <c r="J20">
        <v>160.42878858613901</v>
      </c>
      <c r="K20">
        <v>0</v>
      </c>
      <c r="L20">
        <v>160.42878858613901</v>
      </c>
      <c r="M20">
        <v>0</v>
      </c>
      <c r="N20">
        <v>0</v>
      </c>
      <c r="O20">
        <v>0</v>
      </c>
      <c r="P20">
        <v>0</v>
      </c>
      <c r="Q20">
        <v>99.809464155505339</v>
      </c>
      <c r="R20">
        <v>160.42878858613901</v>
      </c>
      <c r="S20">
        <v>160.42878858613901</v>
      </c>
      <c r="T20">
        <v>160.42878858613901</v>
      </c>
      <c r="U20">
        <v>160.42878858613901</v>
      </c>
      <c r="V20">
        <v>160.42878858613901</v>
      </c>
      <c r="W20">
        <v>160.42878858613901</v>
      </c>
      <c r="X20">
        <v>160.42878858613901</v>
      </c>
      <c r="Y20">
        <v>160.42878858613901</v>
      </c>
    </row>
    <row r="21" spans="1:25" x14ac:dyDescent="0.35">
      <c r="A21" s="1" t="s">
        <v>41</v>
      </c>
      <c r="B21">
        <v>0</v>
      </c>
      <c r="C21">
        <v>0</v>
      </c>
      <c r="D21">
        <v>147.44506556463881</v>
      </c>
      <c r="E21">
        <v>0</v>
      </c>
      <c r="F21">
        <v>145.06921239338391</v>
      </c>
      <c r="G21">
        <v>137.10224769165291</v>
      </c>
      <c r="H21">
        <v>109.90528907697831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160.42878858613901</v>
      </c>
      <c r="Y21">
        <v>121.08165075653579</v>
      </c>
    </row>
    <row r="22" spans="1:25" x14ac:dyDescent="0.35">
      <c r="A22" s="1" t="s">
        <v>42</v>
      </c>
      <c r="B22">
        <v>160.42878858613901</v>
      </c>
      <c r="C22">
        <v>160.42878858613901</v>
      </c>
      <c r="D22">
        <v>148.61547301821241</v>
      </c>
      <c r="E22">
        <v>146.4339626465692</v>
      </c>
      <c r="F22">
        <v>145.42104802293119</v>
      </c>
      <c r="G22">
        <v>160.42878858613901</v>
      </c>
      <c r="H22">
        <v>160.42878858613901</v>
      </c>
      <c r="I22">
        <v>149.36759761472021</v>
      </c>
      <c r="J22">
        <v>160.42878858613901</v>
      </c>
      <c r="K22">
        <v>160.42878858613901</v>
      </c>
      <c r="L22">
        <v>0</v>
      </c>
      <c r="M22">
        <v>34.891253312975287</v>
      </c>
      <c r="N22">
        <v>0</v>
      </c>
      <c r="O22">
        <v>0</v>
      </c>
      <c r="P22">
        <v>0</v>
      </c>
      <c r="Q22">
        <v>160.42878858613901</v>
      </c>
      <c r="R22">
        <v>160.42878858613901</v>
      </c>
      <c r="S22">
        <v>160.42878858613901</v>
      </c>
      <c r="T22">
        <v>160.42878858613901</v>
      </c>
      <c r="U22">
        <v>160.42878858613901</v>
      </c>
      <c r="V22">
        <v>160.42878858613901</v>
      </c>
      <c r="W22">
        <v>160.42878858613901</v>
      </c>
      <c r="X22">
        <v>160.42878858613901</v>
      </c>
      <c r="Y22">
        <v>160.42878858613901</v>
      </c>
    </row>
    <row r="23" spans="1:25" x14ac:dyDescent="0.35">
      <c r="A23" s="1" t="s">
        <v>43</v>
      </c>
      <c r="B23">
        <v>160.42878858613901</v>
      </c>
      <c r="C23">
        <v>160.42878858613901</v>
      </c>
      <c r="D23">
        <v>160.42878858613901</v>
      </c>
      <c r="E23">
        <v>160.42878858613901</v>
      </c>
      <c r="F23">
        <v>160.42878858613901</v>
      </c>
      <c r="G23">
        <v>160.42878858613901</v>
      </c>
      <c r="H23">
        <v>160.42878858613901</v>
      </c>
      <c r="I23">
        <v>160.42878858613901</v>
      </c>
      <c r="J23">
        <v>0</v>
      </c>
      <c r="K23">
        <v>0</v>
      </c>
      <c r="L23">
        <v>0</v>
      </c>
      <c r="M23">
        <v>0</v>
      </c>
      <c r="N23">
        <v>0</v>
      </c>
      <c r="O23">
        <v>99.809464155505367</v>
      </c>
      <c r="P23">
        <v>160.42878858613901</v>
      </c>
      <c r="Q23">
        <v>160.42878858613901</v>
      </c>
      <c r="R23">
        <v>160.42878858613901</v>
      </c>
      <c r="S23">
        <v>160.42878858613901</v>
      </c>
      <c r="T23">
        <v>160.42878858613901</v>
      </c>
      <c r="U23">
        <v>160.42878858613901</v>
      </c>
      <c r="V23">
        <v>160.42878858613901</v>
      </c>
      <c r="W23">
        <v>160.42878858613901</v>
      </c>
      <c r="X23">
        <v>160.42878858613901</v>
      </c>
      <c r="Y23">
        <v>160.42878858613901</v>
      </c>
    </row>
    <row r="24" spans="1:25" x14ac:dyDescent="0.35">
      <c r="A24" s="1" t="s">
        <v>44</v>
      </c>
      <c r="B24">
        <v>0</v>
      </c>
      <c r="C24">
        <v>160.42878858613901</v>
      </c>
      <c r="D24">
        <v>147.44506556463881</v>
      </c>
      <c r="E24">
        <v>157.64508045540089</v>
      </c>
      <c r="F24">
        <v>145.06921239338391</v>
      </c>
      <c r="G24">
        <v>0</v>
      </c>
      <c r="H24">
        <v>109.90528907697831</v>
      </c>
      <c r="I24">
        <v>81.089767273659461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19.449050719127001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45</v>
      </c>
      <c r="B25">
        <v>160.42878858613901</v>
      </c>
      <c r="C25">
        <v>160.42878858613901</v>
      </c>
      <c r="D25">
        <v>148.61547301821241</v>
      </c>
      <c r="E25">
        <v>146.4339626465692</v>
      </c>
      <c r="F25">
        <v>145.42104802293119</v>
      </c>
      <c r="G25">
        <v>160.42878858613901</v>
      </c>
      <c r="H25">
        <v>160.42878858613901</v>
      </c>
      <c r="I25">
        <v>149.36759761472021</v>
      </c>
      <c r="J25">
        <v>160.42878858613901</v>
      </c>
      <c r="K25">
        <v>160.42878858613901</v>
      </c>
      <c r="L25">
        <v>0</v>
      </c>
      <c r="M25">
        <v>126.09553883054819</v>
      </c>
      <c r="N25">
        <v>0</v>
      </c>
      <c r="O25">
        <v>0</v>
      </c>
      <c r="P25">
        <v>0</v>
      </c>
      <c r="Q25">
        <v>69.224503068566179</v>
      </c>
      <c r="R25">
        <v>160.42878858613901</v>
      </c>
      <c r="S25">
        <v>160.42878858613901</v>
      </c>
      <c r="T25">
        <v>160.42878858613901</v>
      </c>
      <c r="U25">
        <v>160.42878858613901</v>
      </c>
      <c r="V25">
        <v>160.42878858613901</v>
      </c>
      <c r="W25">
        <v>160.42878858613901</v>
      </c>
      <c r="X25">
        <v>160.42878858613901</v>
      </c>
      <c r="Y25">
        <v>160.42878858613901</v>
      </c>
    </row>
    <row r="26" spans="1:25" x14ac:dyDescent="0.35">
      <c r="A26" s="1" t="s">
        <v>46</v>
      </c>
      <c r="B26">
        <v>126.71090017063069</v>
      </c>
      <c r="C26">
        <v>126.71090017063069</v>
      </c>
      <c r="D26">
        <v>126.71090017063069</v>
      </c>
      <c r="E26">
        <v>126.71090017063069</v>
      </c>
      <c r="F26">
        <v>126.71090017063069</v>
      </c>
      <c r="G26">
        <v>126.71090017063069</v>
      </c>
      <c r="H26">
        <v>126.71090017063069</v>
      </c>
      <c r="I26">
        <v>126.71090017063069</v>
      </c>
      <c r="J26">
        <v>0</v>
      </c>
      <c r="K26">
        <v>0</v>
      </c>
      <c r="L26">
        <v>126.71090017063069</v>
      </c>
      <c r="M26">
        <v>0</v>
      </c>
      <c r="N26">
        <v>74.252229231400918</v>
      </c>
      <c r="O26">
        <v>0</v>
      </c>
      <c r="P26">
        <v>126.71090017063069</v>
      </c>
      <c r="Q26">
        <v>126.71090017063069</v>
      </c>
      <c r="R26">
        <v>126.71090017063069</v>
      </c>
      <c r="S26">
        <v>126.71090017063069</v>
      </c>
      <c r="T26">
        <v>126.71090017063069</v>
      </c>
      <c r="U26">
        <v>126.71090017063069</v>
      </c>
      <c r="V26">
        <v>126.71090017063069</v>
      </c>
      <c r="W26">
        <v>126.71090017063069</v>
      </c>
      <c r="X26">
        <v>126.71090017063069</v>
      </c>
      <c r="Y26">
        <v>126.71090017063069</v>
      </c>
    </row>
    <row r="27" spans="1:25" x14ac:dyDescent="0.35">
      <c r="A27" s="1" t="s">
        <v>47</v>
      </c>
      <c r="B27">
        <v>0</v>
      </c>
      <c r="C27">
        <v>126.71090017063069</v>
      </c>
      <c r="D27">
        <v>126.71090017063069</v>
      </c>
      <c r="E27">
        <v>0</v>
      </c>
      <c r="F27">
        <v>126.71090017063069</v>
      </c>
      <c r="G27">
        <v>119.1054013824959</v>
      </c>
      <c r="H27">
        <v>109.90528907697831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85.177962927329943</v>
      </c>
      <c r="S27">
        <v>0</v>
      </c>
      <c r="T27">
        <v>0</v>
      </c>
      <c r="U27">
        <v>126.71090017063069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48</v>
      </c>
      <c r="B28">
        <v>126.71090017063069</v>
      </c>
      <c r="C28">
        <v>126.71090017063069</v>
      </c>
      <c r="D28">
        <v>126.71090017063069</v>
      </c>
      <c r="E28">
        <v>126.71090017063069</v>
      </c>
      <c r="F28">
        <v>126.71090017063069</v>
      </c>
      <c r="G28">
        <v>126.71090017063069</v>
      </c>
      <c r="H28">
        <v>126.71090017063069</v>
      </c>
      <c r="I28">
        <v>126.71090017063069</v>
      </c>
      <c r="J28">
        <v>126.71090017063069</v>
      </c>
      <c r="K28">
        <v>126.71090017063069</v>
      </c>
      <c r="L28">
        <v>126.71090017063069</v>
      </c>
      <c r="M28">
        <v>126.71090017063069</v>
      </c>
      <c r="N28">
        <v>126.71090017063069</v>
      </c>
      <c r="O28">
        <v>126.71090017063069</v>
      </c>
      <c r="P28">
        <v>126.71090017063069</v>
      </c>
      <c r="Q28">
        <v>126.71090017063069</v>
      </c>
      <c r="R28">
        <v>126.71090017063069</v>
      </c>
      <c r="S28">
        <v>126.71090017063069</v>
      </c>
      <c r="T28">
        <v>126.71090017063069</v>
      </c>
      <c r="U28">
        <v>126.71090017063069</v>
      </c>
      <c r="V28">
        <v>126.71090017063069</v>
      </c>
      <c r="W28">
        <v>126.71090017063069</v>
      </c>
      <c r="X28">
        <v>126.71090017063069</v>
      </c>
      <c r="Y28">
        <v>126.71090017063069</v>
      </c>
    </row>
    <row r="29" spans="1:25" x14ac:dyDescent="0.35">
      <c r="A29" s="1" t="s">
        <v>49</v>
      </c>
      <c r="B29">
        <v>160.15165377335609</v>
      </c>
      <c r="C29">
        <v>160.15165377335609</v>
      </c>
      <c r="D29">
        <v>160.15165377335609</v>
      </c>
      <c r="E29">
        <v>160.15165377335609</v>
      </c>
      <c r="F29">
        <v>160.15165377335609</v>
      </c>
      <c r="G29">
        <v>160.15165377335609</v>
      </c>
      <c r="H29">
        <v>160.15165377335609</v>
      </c>
      <c r="I29">
        <v>160.15165377335609</v>
      </c>
      <c r="J29">
        <v>0</v>
      </c>
      <c r="K29">
        <v>0</v>
      </c>
      <c r="L29">
        <v>100.6408685938555</v>
      </c>
      <c r="M29">
        <v>160.15165377335609</v>
      </c>
      <c r="N29">
        <v>0</v>
      </c>
      <c r="O29">
        <v>160.15165377335609</v>
      </c>
      <c r="P29">
        <v>0</v>
      </c>
      <c r="Q29">
        <v>0</v>
      </c>
      <c r="R29">
        <v>160.15165377335609</v>
      </c>
      <c r="S29">
        <v>160.15165377335609</v>
      </c>
      <c r="T29">
        <v>160.15165377335609</v>
      </c>
      <c r="U29">
        <v>160.15165377335609</v>
      </c>
      <c r="V29">
        <v>160.15165377335609</v>
      </c>
      <c r="W29">
        <v>160.15165377335609</v>
      </c>
      <c r="X29">
        <v>160.15165377335609</v>
      </c>
      <c r="Y29">
        <v>160.15165377335609</v>
      </c>
    </row>
    <row r="30" spans="1:25" x14ac:dyDescent="0.35">
      <c r="A30" s="1" t="s">
        <v>50</v>
      </c>
      <c r="B30">
        <v>0</v>
      </c>
      <c r="C30">
        <v>0</v>
      </c>
      <c r="D30">
        <v>147.44506556463881</v>
      </c>
      <c r="E30">
        <v>0</v>
      </c>
      <c r="F30">
        <v>0</v>
      </c>
      <c r="G30">
        <v>137.10224769165291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85.177962927329943</v>
      </c>
      <c r="S30">
        <v>131.00367033899329</v>
      </c>
      <c r="T30">
        <v>160.15165377335609</v>
      </c>
      <c r="U30">
        <v>160.15165377335609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51</v>
      </c>
      <c r="B31">
        <v>160.15165377335609</v>
      </c>
      <c r="C31">
        <v>160.15165377335609</v>
      </c>
      <c r="D31">
        <v>148.61547301821241</v>
      </c>
      <c r="E31">
        <v>146.4339626465692</v>
      </c>
      <c r="F31">
        <v>145.42104802293119</v>
      </c>
      <c r="G31">
        <v>160.15165377335609</v>
      </c>
      <c r="H31">
        <v>160.15165377335609</v>
      </c>
      <c r="I31">
        <v>149.36759761472021</v>
      </c>
      <c r="J31">
        <v>79.05853414943924</v>
      </c>
      <c r="K31">
        <v>0</v>
      </c>
      <c r="L31">
        <v>0</v>
      </c>
      <c r="M31">
        <v>0</v>
      </c>
      <c r="N31">
        <v>0</v>
      </c>
      <c r="O31">
        <v>120.2089186398002</v>
      </c>
      <c r="P31">
        <v>160.15165377335609</v>
      </c>
      <c r="Q31">
        <v>160.15165377335609</v>
      </c>
      <c r="R31">
        <v>160.15165377335609</v>
      </c>
      <c r="S31">
        <v>160.15165377335609</v>
      </c>
      <c r="T31">
        <v>160.15165377335609</v>
      </c>
      <c r="U31">
        <v>160.15165377335609</v>
      </c>
      <c r="V31">
        <v>160.15165377335609</v>
      </c>
      <c r="W31">
        <v>160.15165377335609</v>
      </c>
      <c r="X31">
        <v>160.15165377335609</v>
      </c>
      <c r="Y31">
        <v>160.15165377335609</v>
      </c>
    </row>
    <row r="32" spans="1:25" x14ac:dyDescent="0.35">
      <c r="A32" s="1" t="s">
        <v>52</v>
      </c>
      <c r="B32">
        <v>205.8987452933103</v>
      </c>
      <c r="C32">
        <v>205.8987452933103</v>
      </c>
      <c r="D32">
        <v>205.8987452933103</v>
      </c>
      <c r="E32">
        <v>205.8987452933103</v>
      </c>
      <c r="F32">
        <v>205.8987452933103</v>
      </c>
      <c r="G32">
        <v>205.8987452933103</v>
      </c>
      <c r="H32">
        <v>205.8987452933103</v>
      </c>
      <c r="I32">
        <v>193.09136381819991</v>
      </c>
      <c r="J32">
        <v>162.14406850764149</v>
      </c>
      <c r="K32">
        <v>0</v>
      </c>
      <c r="L32">
        <v>0</v>
      </c>
      <c r="M32">
        <v>0</v>
      </c>
      <c r="N32">
        <v>0</v>
      </c>
      <c r="O32">
        <v>205.8987452933103</v>
      </c>
      <c r="P32">
        <v>0</v>
      </c>
      <c r="Q32">
        <v>0</v>
      </c>
      <c r="R32">
        <v>205.8987452933103</v>
      </c>
      <c r="S32">
        <v>205.8987452933103</v>
      </c>
      <c r="T32">
        <v>205.8987452933103</v>
      </c>
      <c r="U32">
        <v>205.8987452933103</v>
      </c>
      <c r="V32">
        <v>205.8987452933103</v>
      </c>
      <c r="W32">
        <v>205.8987452933103</v>
      </c>
      <c r="X32">
        <v>205.8987452933103</v>
      </c>
      <c r="Y32">
        <v>205.8987452933103</v>
      </c>
    </row>
    <row r="33" spans="1:25" x14ac:dyDescent="0.35">
      <c r="A33" s="1" t="s">
        <v>53</v>
      </c>
      <c r="B33">
        <v>0</v>
      </c>
      <c r="C33">
        <v>172.70849898831571</v>
      </c>
      <c r="D33">
        <v>0</v>
      </c>
      <c r="E33">
        <v>157.64508045540089</v>
      </c>
      <c r="F33">
        <v>0</v>
      </c>
      <c r="G33">
        <v>137.10224769165291</v>
      </c>
      <c r="H33">
        <v>0</v>
      </c>
      <c r="I33">
        <v>81.089767273659461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73.294416247764246</v>
      </c>
      <c r="S33">
        <v>0</v>
      </c>
      <c r="T33">
        <v>199.192243412534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54</v>
      </c>
      <c r="B34">
        <v>179.8319801819373</v>
      </c>
      <c r="C34">
        <v>167.24682109862781</v>
      </c>
      <c r="D34">
        <v>148.61547301821241</v>
      </c>
      <c r="E34">
        <v>146.4339626465692</v>
      </c>
      <c r="F34">
        <v>145.42104802293119</v>
      </c>
      <c r="G34">
        <v>167.7887071382716</v>
      </c>
      <c r="H34">
        <v>160.42878858613901</v>
      </c>
      <c r="I34">
        <v>149.36759761472021</v>
      </c>
      <c r="J34">
        <v>79.05853414943924</v>
      </c>
      <c r="K34">
        <v>0.95187412286210771</v>
      </c>
      <c r="L34">
        <v>0</v>
      </c>
      <c r="M34">
        <v>0</v>
      </c>
      <c r="N34">
        <v>0</v>
      </c>
      <c r="O34">
        <v>0</v>
      </c>
      <c r="P34">
        <v>0</v>
      </c>
      <c r="Q34">
        <v>69.224503068566179</v>
      </c>
      <c r="R34">
        <v>168.1984968222078</v>
      </c>
      <c r="S34">
        <v>205.8987452933103</v>
      </c>
      <c r="T34">
        <v>205.8987452933103</v>
      </c>
      <c r="U34">
        <v>205.8987452933103</v>
      </c>
      <c r="V34">
        <v>205.8987452933103</v>
      </c>
      <c r="W34">
        <v>205.8987452933103</v>
      </c>
      <c r="X34">
        <v>205.8987452933103</v>
      </c>
      <c r="Y34">
        <v>205.8987452933103</v>
      </c>
    </row>
    <row r="35" spans="1:25" x14ac:dyDescent="0.35">
      <c r="A35" s="1" t="s">
        <v>55</v>
      </c>
      <c r="B35">
        <v>205.89874529331041</v>
      </c>
      <c r="C35">
        <v>205.89874529331041</v>
      </c>
      <c r="D35">
        <v>205.89874529331041</v>
      </c>
      <c r="E35">
        <v>205.89874529331041</v>
      </c>
      <c r="F35">
        <v>205.89874529331041</v>
      </c>
      <c r="G35">
        <v>205.89874529331041</v>
      </c>
      <c r="H35">
        <v>205.89874529331041</v>
      </c>
      <c r="I35">
        <v>205.89874529331041</v>
      </c>
      <c r="J35">
        <v>0</v>
      </c>
      <c r="K35">
        <v>0</v>
      </c>
      <c r="L35">
        <v>0</v>
      </c>
      <c r="M35">
        <v>0</v>
      </c>
      <c r="N35">
        <v>149.3366870325296</v>
      </c>
      <c r="O35">
        <v>0</v>
      </c>
      <c r="P35">
        <v>0</v>
      </c>
      <c r="Q35">
        <v>205.89874529331041</v>
      </c>
      <c r="R35">
        <v>205.89874529331041</v>
      </c>
      <c r="S35">
        <v>205.89874529331041</v>
      </c>
      <c r="T35">
        <v>205.89874529331041</v>
      </c>
      <c r="U35">
        <v>205.89874529331041</v>
      </c>
      <c r="V35">
        <v>205.89874529331041</v>
      </c>
      <c r="W35">
        <v>205.89874529331041</v>
      </c>
      <c r="X35">
        <v>205.89874529331041</v>
      </c>
      <c r="Y35">
        <v>205.89874529331041</v>
      </c>
    </row>
    <row r="36" spans="1:25" x14ac:dyDescent="0.35">
      <c r="A36" s="1" t="s">
        <v>56</v>
      </c>
      <c r="B36">
        <v>0</v>
      </c>
      <c r="C36">
        <v>172.70849898831571</v>
      </c>
      <c r="D36">
        <v>0</v>
      </c>
      <c r="E36">
        <v>157.64508045540089</v>
      </c>
      <c r="F36">
        <v>0</v>
      </c>
      <c r="G36">
        <v>137.10224769165291</v>
      </c>
      <c r="H36">
        <v>109.90528907697831</v>
      </c>
      <c r="I36">
        <v>44.478894444445622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199.192243412534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57</v>
      </c>
      <c r="B37">
        <v>179.8319801819373</v>
      </c>
      <c r="C37">
        <v>167.24682109862781</v>
      </c>
      <c r="D37">
        <v>148.61547301821241</v>
      </c>
      <c r="E37">
        <v>146.4339626465692</v>
      </c>
      <c r="F37">
        <v>145.42104802293119</v>
      </c>
      <c r="G37">
        <v>167.7887071382716</v>
      </c>
      <c r="H37">
        <v>160.42878858613901</v>
      </c>
      <c r="I37">
        <v>150.31947173758149</v>
      </c>
      <c r="J37">
        <v>79.05853414943924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69.224503068566179</v>
      </c>
      <c r="R37">
        <v>168.1984968222078</v>
      </c>
      <c r="S37">
        <v>205.89874529331041</v>
      </c>
      <c r="T37">
        <v>205.89874529331041</v>
      </c>
      <c r="U37">
        <v>205.89874529331041</v>
      </c>
      <c r="V37">
        <v>205.89874529331041</v>
      </c>
      <c r="W37">
        <v>205.89874529331041</v>
      </c>
      <c r="X37">
        <v>205.89874529331041</v>
      </c>
      <c r="Y37">
        <v>205.89874529331041</v>
      </c>
    </row>
    <row r="38" spans="1:25" x14ac:dyDescent="0.35">
      <c r="A38" s="1" t="s">
        <v>58</v>
      </c>
      <c r="B38">
        <v>205.89874529331041</v>
      </c>
      <c r="C38">
        <v>205.89874529331041</v>
      </c>
      <c r="D38">
        <v>205.89874529331041</v>
      </c>
      <c r="E38">
        <v>205.89874529331041</v>
      </c>
      <c r="F38">
        <v>205.89874529331041</v>
      </c>
      <c r="G38">
        <v>205.89874529331041</v>
      </c>
      <c r="H38">
        <v>205.89874529331041</v>
      </c>
      <c r="I38">
        <v>205.89874529331041</v>
      </c>
      <c r="J38">
        <v>0</v>
      </c>
      <c r="K38">
        <v>0</v>
      </c>
      <c r="L38">
        <v>0</v>
      </c>
      <c r="M38">
        <v>0</v>
      </c>
      <c r="N38">
        <v>149.3366870325296</v>
      </c>
      <c r="O38">
        <v>0</v>
      </c>
      <c r="P38">
        <v>0</v>
      </c>
      <c r="Q38">
        <v>205.89874529331041</v>
      </c>
      <c r="R38">
        <v>205.89874529331041</v>
      </c>
      <c r="S38">
        <v>205.89874529331041</v>
      </c>
      <c r="T38">
        <v>205.89874529331041</v>
      </c>
      <c r="U38">
        <v>205.89874529331041</v>
      </c>
      <c r="V38">
        <v>205.89874529331041</v>
      </c>
      <c r="W38">
        <v>205.89874529331041</v>
      </c>
      <c r="X38">
        <v>205.89874529331041</v>
      </c>
      <c r="Y38">
        <v>205.89874529331041</v>
      </c>
    </row>
    <row r="39" spans="1:25" x14ac:dyDescent="0.35">
      <c r="A39" s="1" t="s">
        <v>59</v>
      </c>
      <c r="B39">
        <v>166.53318364986731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167.2016964895964</v>
      </c>
      <c r="T39">
        <v>199.192243412534</v>
      </c>
      <c r="U39">
        <v>0</v>
      </c>
      <c r="V39">
        <v>205.89874529331041</v>
      </c>
      <c r="W39">
        <v>0</v>
      </c>
      <c r="X39">
        <v>82.206385224019414</v>
      </c>
      <c r="Y39">
        <v>0</v>
      </c>
    </row>
    <row r="40" spans="1:25" x14ac:dyDescent="0.35">
      <c r="A40" s="1" t="s">
        <v>60</v>
      </c>
      <c r="B40">
        <v>179.8319801819373</v>
      </c>
      <c r="C40">
        <v>167.24682109862781</v>
      </c>
      <c r="D40">
        <v>148.61547301821241</v>
      </c>
      <c r="E40">
        <v>146.4339626465692</v>
      </c>
      <c r="F40">
        <v>146.37292214579259</v>
      </c>
      <c r="G40">
        <v>167.7887071382716</v>
      </c>
      <c r="H40">
        <v>160.42878858613901</v>
      </c>
      <c r="I40">
        <v>149.36759761472021</v>
      </c>
      <c r="J40">
        <v>79.05853414943924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69.224503068566179</v>
      </c>
      <c r="R40">
        <v>168.1984968222078</v>
      </c>
      <c r="S40">
        <v>205.89874529331041</v>
      </c>
      <c r="T40">
        <v>205.89874529331041</v>
      </c>
      <c r="U40">
        <v>205.89874529331041</v>
      </c>
      <c r="V40">
        <v>205.89874529331041</v>
      </c>
      <c r="W40">
        <v>205.89874529331041</v>
      </c>
      <c r="X40">
        <v>205.89874529331041</v>
      </c>
      <c r="Y40">
        <v>205.89874529331041</v>
      </c>
    </row>
    <row r="41" spans="1:25" x14ac:dyDescent="0.35">
      <c r="A41" s="1" t="s">
        <v>61</v>
      </c>
      <c r="B41">
        <v>112.905733538188</v>
      </c>
      <c r="C41">
        <v>112.905733538188</v>
      </c>
      <c r="D41">
        <v>112.905733538188</v>
      </c>
      <c r="E41">
        <v>112.905733538188</v>
      </c>
      <c r="F41">
        <v>112.905733538188</v>
      </c>
      <c r="G41">
        <v>112.905733538188</v>
      </c>
      <c r="H41">
        <v>112.905733538188</v>
      </c>
      <c r="I41">
        <v>112.905733538188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112.905733538188</v>
      </c>
      <c r="S41">
        <v>112.905733538188</v>
      </c>
      <c r="T41">
        <v>112.905733538188</v>
      </c>
      <c r="U41">
        <v>112.905733538188</v>
      </c>
      <c r="V41">
        <v>112.905733538188</v>
      </c>
      <c r="W41">
        <v>112.905733538188</v>
      </c>
      <c r="X41">
        <v>112.905733538188</v>
      </c>
      <c r="Y41">
        <v>112.905733538188</v>
      </c>
    </row>
    <row r="42" spans="1:25" x14ac:dyDescent="0.35">
      <c r="A42" s="1" t="s">
        <v>62</v>
      </c>
      <c r="B42">
        <v>112.905733538188</v>
      </c>
      <c r="C42">
        <v>0</v>
      </c>
      <c r="D42">
        <v>112.905733538188</v>
      </c>
      <c r="E42">
        <v>0</v>
      </c>
      <c r="F42">
        <v>112.905733538188</v>
      </c>
      <c r="G42">
        <v>112.905733538188</v>
      </c>
      <c r="H42">
        <v>109.90528907697831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32.477054508543972</v>
      </c>
      <c r="S42">
        <v>112.905733538188</v>
      </c>
      <c r="T42">
        <v>112.905733538188</v>
      </c>
      <c r="U42">
        <v>0</v>
      </c>
      <c r="V42">
        <v>112.905733538188</v>
      </c>
      <c r="W42">
        <v>112.905733538188</v>
      </c>
      <c r="X42">
        <v>112.905733538188</v>
      </c>
      <c r="Y42">
        <v>112.905733538188</v>
      </c>
    </row>
    <row r="43" spans="1:25" x14ac:dyDescent="0.35">
      <c r="A43" s="1" t="s">
        <v>63</v>
      </c>
      <c r="B43">
        <v>112.905733538188</v>
      </c>
      <c r="C43">
        <v>112.905733538188</v>
      </c>
      <c r="D43">
        <v>112.905733538188</v>
      </c>
      <c r="E43">
        <v>112.905733538188</v>
      </c>
      <c r="F43">
        <v>112.905733538188</v>
      </c>
      <c r="G43">
        <v>112.905733538188</v>
      </c>
      <c r="H43">
        <v>112.905733538188</v>
      </c>
      <c r="I43">
        <v>112.905733538188</v>
      </c>
      <c r="J43">
        <v>112.905733538188</v>
      </c>
      <c r="K43">
        <v>112.905733538188</v>
      </c>
      <c r="L43">
        <v>112.905733538188</v>
      </c>
      <c r="M43">
        <v>112.905733538188</v>
      </c>
      <c r="N43">
        <v>112.905733538188</v>
      </c>
      <c r="O43">
        <v>112.905733538188</v>
      </c>
      <c r="P43">
        <v>112.905733538188</v>
      </c>
      <c r="Q43">
        <v>112.905733538188</v>
      </c>
      <c r="R43">
        <v>112.905733538188</v>
      </c>
      <c r="S43">
        <v>112.905733538188</v>
      </c>
      <c r="T43">
        <v>112.905733538188</v>
      </c>
      <c r="U43">
        <v>112.905733538188</v>
      </c>
      <c r="V43">
        <v>112.905733538188</v>
      </c>
      <c r="W43">
        <v>112.905733538188</v>
      </c>
      <c r="X43">
        <v>112.905733538188</v>
      </c>
      <c r="Y43">
        <v>112.905733538188</v>
      </c>
    </row>
    <row r="44" spans="1:25" x14ac:dyDescent="0.35">
      <c r="A44" s="1" t="s">
        <v>64</v>
      </c>
      <c r="B44">
        <v>79.464979935462594</v>
      </c>
      <c r="C44">
        <v>79.464979935462594</v>
      </c>
      <c r="D44">
        <v>79.464979935462594</v>
      </c>
      <c r="E44">
        <v>79.464979935462594</v>
      </c>
      <c r="F44">
        <v>79.464979935462594</v>
      </c>
      <c r="G44">
        <v>79.464979935462594</v>
      </c>
      <c r="H44">
        <v>79.464979935462594</v>
      </c>
      <c r="I44">
        <v>79.464979935462594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79.464979935462594</v>
      </c>
      <c r="S44">
        <v>79.464979935462594</v>
      </c>
      <c r="T44">
        <v>79.464979935462594</v>
      </c>
      <c r="U44">
        <v>79.464979935462594</v>
      </c>
      <c r="V44">
        <v>79.464979935462594</v>
      </c>
      <c r="W44">
        <v>79.464979935462594</v>
      </c>
      <c r="X44">
        <v>79.464979935462594</v>
      </c>
      <c r="Y44">
        <v>79.464979935462594</v>
      </c>
    </row>
    <row r="45" spans="1:25" x14ac:dyDescent="0.35">
      <c r="A45" s="1" t="s">
        <v>65</v>
      </c>
      <c r="B45">
        <v>79.464979935462594</v>
      </c>
      <c r="C45">
        <v>79.464979935462594</v>
      </c>
      <c r="D45">
        <v>79.464979935462594</v>
      </c>
      <c r="E45">
        <v>79.464979935462594</v>
      </c>
      <c r="F45">
        <v>79.464979935462594</v>
      </c>
      <c r="G45">
        <v>79.464979935462594</v>
      </c>
      <c r="H45">
        <v>79.464979935462594</v>
      </c>
      <c r="I45">
        <v>79.464979935462594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79.464979935462594</v>
      </c>
      <c r="S45">
        <v>79.464979935462594</v>
      </c>
      <c r="T45">
        <v>79.464979935462594</v>
      </c>
      <c r="U45">
        <v>79.464979935462594</v>
      </c>
      <c r="V45">
        <v>79.464979935462594</v>
      </c>
      <c r="W45">
        <v>79.464979935462594</v>
      </c>
      <c r="X45">
        <v>79.464979935462594</v>
      </c>
      <c r="Y45">
        <v>79.464979935462594</v>
      </c>
    </row>
    <row r="46" spans="1:25" x14ac:dyDescent="0.35">
      <c r="A46" s="1" t="s">
        <v>66</v>
      </c>
      <c r="B46">
        <v>79.464979935462594</v>
      </c>
      <c r="C46">
        <v>79.464979935462594</v>
      </c>
      <c r="D46">
        <v>79.464979935462594</v>
      </c>
      <c r="E46">
        <v>79.464979935462594</v>
      </c>
      <c r="F46">
        <v>79.464979935462594</v>
      </c>
      <c r="G46">
        <v>79.464979935462594</v>
      </c>
      <c r="H46">
        <v>79.464979935462594</v>
      </c>
      <c r="I46">
        <v>79.464979935462594</v>
      </c>
      <c r="J46">
        <v>79.464979935462594</v>
      </c>
      <c r="K46">
        <v>79.464979935462594</v>
      </c>
      <c r="L46">
        <v>79.464979935462594</v>
      </c>
      <c r="M46">
        <v>79.464979935462594</v>
      </c>
      <c r="N46">
        <v>79.464979935462594</v>
      </c>
      <c r="O46">
        <v>79.464979935462594</v>
      </c>
      <c r="P46">
        <v>79.464979935462594</v>
      </c>
      <c r="Q46">
        <v>79.464979935462594</v>
      </c>
      <c r="R46">
        <v>79.464979935462594</v>
      </c>
      <c r="S46">
        <v>79.464979935462594</v>
      </c>
      <c r="T46">
        <v>79.464979935462594</v>
      </c>
      <c r="U46">
        <v>79.464979935462594</v>
      </c>
      <c r="V46">
        <v>79.464979935462594</v>
      </c>
      <c r="W46">
        <v>79.464979935462594</v>
      </c>
      <c r="X46">
        <v>79.464979935462594</v>
      </c>
      <c r="Y46">
        <v>79.464979935462594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0.45093121722861168</v>
      </c>
      <c r="H11">
        <v>4.6180993284425211</v>
      </c>
      <c r="I11">
        <v>17.38452575220607</v>
      </c>
      <c r="J11">
        <v>38.272223398256919</v>
      </c>
      <c r="K11">
        <v>57.360141823544069</v>
      </c>
      <c r="L11">
        <v>71.160328062804211</v>
      </c>
      <c r="M11">
        <v>79.179576097193532</v>
      </c>
      <c r="N11">
        <v>80.460784418144328</v>
      </c>
      <c r="O11">
        <v>75.97683712682732</v>
      </c>
      <c r="P11">
        <v>64.84447270149596</v>
      </c>
      <c r="Q11">
        <v>48.695498484496277</v>
      </c>
      <c r="R11">
        <v>28.325808074236811</v>
      </c>
      <c r="S11">
        <v>10.275595112596999</v>
      </c>
      <c r="T11">
        <v>1.973951403418249</v>
      </c>
      <c r="U11">
        <v>3.6074497378288932E-2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0.24126947155774281</v>
      </c>
      <c r="H12">
        <v>2.3301551595182</v>
      </c>
      <c r="I12">
        <v>8.3068655777556195</v>
      </c>
      <c r="J12">
        <v>22.794674065023411</v>
      </c>
      <c r="K12">
        <v>38.959728659392177</v>
      </c>
      <c r="L12">
        <v>0</v>
      </c>
      <c r="M12">
        <v>42.205956704822647</v>
      </c>
      <c r="N12">
        <v>0</v>
      </c>
      <c r="O12">
        <v>57.404144840319617</v>
      </c>
      <c r="P12">
        <v>46.071887073162308</v>
      </c>
      <c r="Q12">
        <v>30.79783640445854</v>
      </c>
      <c r="R12">
        <v>14.97987122531319</v>
      </c>
      <c r="S12">
        <v>4.4814746142414039</v>
      </c>
      <c r="T12">
        <v>0.97248528228756814</v>
      </c>
      <c r="U12">
        <v>1.5872991549851511E-2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0.20227222018717861</v>
      </c>
      <c r="H13">
        <v>1.798383921300553</v>
      </c>
      <c r="I13">
        <v>6.0828773125380664</v>
      </c>
      <c r="J13">
        <v>14.30064596723353</v>
      </c>
      <c r="K13">
        <v>23.500354309019482</v>
      </c>
      <c r="L13">
        <v>30.072362626737451</v>
      </c>
      <c r="M13">
        <v>31.707089933522919</v>
      </c>
      <c r="N13">
        <v>30.953166203734369</v>
      </c>
      <c r="O13">
        <v>28.590258904275039</v>
      </c>
      <c r="P13">
        <v>24.463905612456578</v>
      </c>
      <c r="Q13">
        <v>16.93754018312821</v>
      </c>
      <c r="R13">
        <v>9.0948945549616855</v>
      </c>
      <c r="S13">
        <v>3.5250531463529211</v>
      </c>
      <c r="T13">
        <v>0.86425403170885395</v>
      </c>
      <c r="U13">
        <v>1.103303019202794E-2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0.45093121722861168</v>
      </c>
      <c r="H14">
        <v>4.6180993284425211</v>
      </c>
      <c r="I14">
        <v>17.38452575220607</v>
      </c>
      <c r="J14">
        <v>38.272223398256919</v>
      </c>
      <c r="K14">
        <v>57.360141823544069</v>
      </c>
      <c r="L14">
        <v>71.160328062804211</v>
      </c>
      <c r="M14">
        <v>79.179576097193532</v>
      </c>
      <c r="N14">
        <v>80.460784418144328</v>
      </c>
      <c r="O14">
        <v>75.97683712682732</v>
      </c>
      <c r="P14">
        <v>64.84447270149596</v>
      </c>
      <c r="Q14">
        <v>48.695498484496277</v>
      </c>
      <c r="R14">
        <v>28.325808074236811</v>
      </c>
      <c r="S14">
        <v>10.275595112596999</v>
      </c>
      <c r="T14">
        <v>1.973951403418249</v>
      </c>
      <c r="U14">
        <v>3.6074497378288932E-2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0.24126947155774281</v>
      </c>
      <c r="H15">
        <v>2.3301551595182</v>
      </c>
      <c r="I15">
        <v>8.3068655777556195</v>
      </c>
      <c r="J15">
        <v>22.794674065023411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14.97987122531319</v>
      </c>
      <c r="S15">
        <v>4.4814746142414039</v>
      </c>
      <c r="T15">
        <v>0.97248528228756814</v>
      </c>
      <c r="U15">
        <v>1.5872991549851511E-2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0.20227222018717861</v>
      </c>
      <c r="H16">
        <v>1.798383921300553</v>
      </c>
      <c r="I16">
        <v>6.0828773125380664</v>
      </c>
      <c r="J16">
        <v>14.30064596723353</v>
      </c>
      <c r="K16">
        <v>23.500354309019482</v>
      </c>
      <c r="L16">
        <v>30.072362626737451</v>
      </c>
      <c r="M16">
        <v>31.707089933522919</v>
      </c>
      <c r="N16">
        <v>30.953166203734369</v>
      </c>
      <c r="O16">
        <v>28.590258904275039</v>
      </c>
      <c r="P16">
        <v>24.463905612456578</v>
      </c>
      <c r="Q16">
        <v>16.93754018312821</v>
      </c>
      <c r="R16">
        <v>9.0948945549616855</v>
      </c>
      <c r="S16">
        <v>3.5250531463529211</v>
      </c>
      <c r="T16">
        <v>0.86425403170885395</v>
      </c>
      <c r="U16">
        <v>1.103303019202794E-2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0.45093121722861168</v>
      </c>
      <c r="H17">
        <v>4.6180993284425211</v>
      </c>
      <c r="I17">
        <v>17.38452575220607</v>
      </c>
      <c r="J17">
        <v>38.272223398256919</v>
      </c>
      <c r="K17">
        <v>57.360141823544069</v>
      </c>
      <c r="L17">
        <v>71.160328062804211</v>
      </c>
      <c r="M17">
        <v>79.179576097193532</v>
      </c>
      <c r="N17">
        <v>80.460784418144328</v>
      </c>
      <c r="O17">
        <v>75.97683712682732</v>
      </c>
      <c r="P17">
        <v>64.84447270149596</v>
      </c>
      <c r="Q17">
        <v>48.695498484496277</v>
      </c>
      <c r="R17">
        <v>28.325808074236811</v>
      </c>
      <c r="S17">
        <v>10.275595112596999</v>
      </c>
      <c r="T17">
        <v>1.973951403418249</v>
      </c>
      <c r="U17">
        <v>3.6074497378288932E-2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0.24126947155774281</v>
      </c>
      <c r="H18">
        <v>2.3301551595182</v>
      </c>
      <c r="I18">
        <v>8.3068655777556195</v>
      </c>
      <c r="J18">
        <v>22.794674065023411</v>
      </c>
      <c r="K18">
        <v>38.959728659392177</v>
      </c>
      <c r="L18">
        <v>52.386163111693243</v>
      </c>
      <c r="M18">
        <v>61.132181455661403</v>
      </c>
      <c r="N18">
        <v>62.750168394309597</v>
      </c>
      <c r="O18">
        <v>57.404144840319617</v>
      </c>
      <c r="P18">
        <v>46.071887073162308</v>
      </c>
      <c r="Q18">
        <v>30.797836404457129</v>
      </c>
      <c r="R18">
        <v>14.97987122531319</v>
      </c>
      <c r="S18">
        <v>4.4814746142414039</v>
      </c>
      <c r="T18">
        <v>0.97248528228756814</v>
      </c>
      <c r="U18">
        <v>1.5872991549851511E-2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0.20227222018717861</v>
      </c>
      <c r="H19">
        <v>1.798383921300553</v>
      </c>
      <c r="I19">
        <v>6.0828773125380664</v>
      </c>
      <c r="J19">
        <v>14.30064596723353</v>
      </c>
      <c r="K19">
        <v>23.500354309019482</v>
      </c>
      <c r="L19">
        <v>30.072362626737451</v>
      </c>
      <c r="M19">
        <v>31.707089933522919</v>
      </c>
      <c r="N19">
        <v>30.953166203734369</v>
      </c>
      <c r="O19">
        <v>28.590258904275039</v>
      </c>
      <c r="P19">
        <v>24.463905612456578</v>
      </c>
      <c r="Q19">
        <v>16.93754018312821</v>
      </c>
      <c r="R19">
        <v>9.0948945549616855</v>
      </c>
      <c r="S19">
        <v>3.5250531463529211</v>
      </c>
      <c r="T19">
        <v>0.86425403170885395</v>
      </c>
      <c r="U19">
        <v>1.103303019202794E-2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0.45093121722861168</v>
      </c>
      <c r="H20">
        <v>4.6180993284425211</v>
      </c>
      <c r="I20">
        <v>17.38452575220607</v>
      </c>
      <c r="J20">
        <v>38.272223398256919</v>
      </c>
      <c r="K20">
        <v>57.360141823544069</v>
      </c>
      <c r="L20">
        <v>71.160328062804211</v>
      </c>
      <c r="M20">
        <v>79.179576097193532</v>
      </c>
      <c r="N20">
        <v>80.460784418144328</v>
      </c>
      <c r="O20">
        <v>75.97683712682732</v>
      </c>
      <c r="P20">
        <v>64.84447270149596</v>
      </c>
      <c r="Q20">
        <v>48.695498484496277</v>
      </c>
      <c r="R20">
        <v>28.325808074236811</v>
      </c>
      <c r="S20">
        <v>10.275595112596999</v>
      </c>
      <c r="T20">
        <v>1.973951403418249</v>
      </c>
      <c r="U20">
        <v>3.6074497378288932E-2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0.24126947155774281</v>
      </c>
      <c r="H21">
        <v>2.3301551595182</v>
      </c>
      <c r="I21">
        <v>8.3068655777556195</v>
      </c>
      <c r="J21">
        <v>22.794674065023411</v>
      </c>
      <c r="K21">
        <v>38.959728659392177</v>
      </c>
      <c r="L21">
        <v>52.386163111693243</v>
      </c>
      <c r="M21">
        <v>61.132181455661403</v>
      </c>
      <c r="N21">
        <v>62.750168394309597</v>
      </c>
      <c r="O21">
        <v>57.404144840319617</v>
      </c>
      <c r="P21">
        <v>46.071887073162308</v>
      </c>
      <c r="Q21">
        <v>30.797836404457129</v>
      </c>
      <c r="R21">
        <v>14.97987122531319</v>
      </c>
      <c r="S21">
        <v>4.4814746142414039</v>
      </c>
      <c r="T21">
        <v>0.97248528228756814</v>
      </c>
      <c r="U21">
        <v>1.5872991549851511E-2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0.20227222018717861</v>
      </c>
      <c r="H22">
        <v>1.798383921300553</v>
      </c>
      <c r="I22">
        <v>6.0828773125380664</v>
      </c>
      <c r="J22">
        <v>14.30064596723353</v>
      </c>
      <c r="K22">
        <v>23.500354309019482</v>
      </c>
      <c r="L22">
        <v>30.072362626737451</v>
      </c>
      <c r="M22">
        <v>31.707089933522919</v>
      </c>
      <c r="N22">
        <v>30.953166203734369</v>
      </c>
      <c r="O22">
        <v>28.590258904275039</v>
      </c>
      <c r="P22">
        <v>24.463905612456578</v>
      </c>
      <c r="Q22">
        <v>16.93754018312821</v>
      </c>
      <c r="R22">
        <v>9.0948945549616855</v>
      </c>
      <c r="S22">
        <v>3.5250531463529211</v>
      </c>
      <c r="T22">
        <v>0.86425403170885395</v>
      </c>
      <c r="U22">
        <v>1.103303019202794E-2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0.45093121722861168</v>
      </c>
      <c r="H23">
        <v>4.6180993284425211</v>
      </c>
      <c r="I23">
        <v>17.38452575220607</v>
      </c>
      <c r="J23">
        <v>38.272223398256919</v>
      </c>
      <c r="K23">
        <v>57.360141823544069</v>
      </c>
      <c r="L23">
        <v>71.160328062804211</v>
      </c>
      <c r="M23">
        <v>79.179576097193532</v>
      </c>
      <c r="N23">
        <v>80.460784418144328</v>
      </c>
      <c r="O23">
        <v>75.97683712682732</v>
      </c>
      <c r="P23">
        <v>64.84447270149596</v>
      </c>
      <c r="Q23">
        <v>48.695498484496277</v>
      </c>
      <c r="R23">
        <v>28.325808074236811</v>
      </c>
      <c r="S23">
        <v>10.275595112596999</v>
      </c>
      <c r="T23">
        <v>1.973951403418249</v>
      </c>
      <c r="U23">
        <v>3.6074497378288932E-2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0.24126947155774281</v>
      </c>
      <c r="H24">
        <v>2.3301551595182</v>
      </c>
      <c r="I24">
        <v>8.3068655777556195</v>
      </c>
      <c r="J24">
        <v>22.794674065023411</v>
      </c>
      <c r="K24">
        <v>38.959728659392177</v>
      </c>
      <c r="L24">
        <v>52.386163111693243</v>
      </c>
      <c r="M24">
        <v>61.132181455661403</v>
      </c>
      <c r="N24">
        <v>62.750168394309597</v>
      </c>
      <c r="O24">
        <v>57.404144840319617</v>
      </c>
      <c r="P24">
        <v>46.071887073162308</v>
      </c>
      <c r="Q24">
        <v>30.79783640445854</v>
      </c>
      <c r="R24">
        <v>14.97987122531319</v>
      </c>
      <c r="S24">
        <v>4.4814746142414039</v>
      </c>
      <c r="T24">
        <v>0.97248528228756814</v>
      </c>
      <c r="U24">
        <v>1.5872991549851511E-2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0.20227222018717861</v>
      </c>
      <c r="H25">
        <v>1.798383921300553</v>
      </c>
      <c r="I25">
        <v>6.0828773125380664</v>
      </c>
      <c r="J25">
        <v>14.30064596723353</v>
      </c>
      <c r="K25">
        <v>23.500354309019482</v>
      </c>
      <c r="L25">
        <v>30.072362626737451</v>
      </c>
      <c r="M25">
        <v>31.707089933522919</v>
      </c>
      <c r="N25">
        <v>30.953166203734369</v>
      </c>
      <c r="O25">
        <v>28.590258904275039</v>
      </c>
      <c r="P25">
        <v>24.463905612456578</v>
      </c>
      <c r="Q25">
        <v>16.93754018312821</v>
      </c>
      <c r="R25">
        <v>9.0948945549616855</v>
      </c>
      <c r="S25">
        <v>3.5250531463529211</v>
      </c>
      <c r="T25">
        <v>0.86425403170885395</v>
      </c>
      <c r="U25">
        <v>1.103303019202794E-2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0.45093121722861168</v>
      </c>
      <c r="H26">
        <v>4.6180993284425211</v>
      </c>
      <c r="I26">
        <v>17.38452575220607</v>
      </c>
      <c r="J26">
        <v>38.272223398256919</v>
      </c>
      <c r="K26">
        <v>57.360141823544069</v>
      </c>
      <c r="L26">
        <v>71.160328062804211</v>
      </c>
      <c r="M26">
        <v>79.179576097193532</v>
      </c>
      <c r="N26">
        <v>80.460784418144328</v>
      </c>
      <c r="O26">
        <v>75.97683712682732</v>
      </c>
      <c r="P26">
        <v>64.84447270149596</v>
      </c>
      <c r="Q26">
        <v>48.695498484496277</v>
      </c>
      <c r="R26">
        <v>28.325808074236811</v>
      </c>
      <c r="S26">
        <v>10.275595112596999</v>
      </c>
      <c r="T26">
        <v>1.973951403418249</v>
      </c>
      <c r="U26">
        <v>3.6074497378288932E-2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0.24126947155774281</v>
      </c>
      <c r="H27">
        <v>2.3301551595182</v>
      </c>
      <c r="I27">
        <v>8.3068655777556195</v>
      </c>
      <c r="J27">
        <v>22.794674065023411</v>
      </c>
      <c r="K27">
        <v>38.959728659392177</v>
      </c>
      <c r="L27">
        <v>52.386163111693243</v>
      </c>
      <c r="M27">
        <v>61.132181455661403</v>
      </c>
      <c r="N27">
        <v>62.750168394309597</v>
      </c>
      <c r="O27">
        <v>57.404144840319617</v>
      </c>
      <c r="P27">
        <v>46.071887073162308</v>
      </c>
      <c r="Q27">
        <v>30.79783640445854</v>
      </c>
      <c r="R27">
        <v>14.97987122531319</v>
      </c>
      <c r="S27">
        <v>4.4814746142414039</v>
      </c>
      <c r="T27">
        <v>0.97248528228756814</v>
      </c>
      <c r="U27">
        <v>1.5872991549851511E-2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0.20227222018717861</v>
      </c>
      <c r="H28">
        <v>1.798383921300553</v>
      </c>
      <c r="I28">
        <v>6.0828773125380664</v>
      </c>
      <c r="J28">
        <v>14.30064596723353</v>
      </c>
      <c r="K28">
        <v>23.500354309019482</v>
      </c>
      <c r="L28">
        <v>30.072362626737451</v>
      </c>
      <c r="M28">
        <v>31.707089933522919</v>
      </c>
      <c r="N28">
        <v>30.953166203734369</v>
      </c>
      <c r="O28">
        <v>28.590258904275039</v>
      </c>
      <c r="P28">
        <v>24.463905612456578</v>
      </c>
      <c r="Q28">
        <v>16.93754018312821</v>
      </c>
      <c r="R28">
        <v>9.0948945549616855</v>
      </c>
      <c r="S28">
        <v>3.5250531463529211</v>
      </c>
      <c r="T28">
        <v>0.86425403170885395</v>
      </c>
      <c r="U28">
        <v>1.103303019202794E-2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0.45093121722861168</v>
      </c>
      <c r="H29">
        <v>4.6180993284425211</v>
      </c>
      <c r="I29">
        <v>17.38452575220607</v>
      </c>
      <c r="J29">
        <v>38.272223398256919</v>
      </c>
      <c r="K29">
        <v>57.360141823544069</v>
      </c>
      <c r="L29">
        <v>71.160328062804211</v>
      </c>
      <c r="M29">
        <v>79.179576097193532</v>
      </c>
      <c r="N29">
        <v>80.460784418144328</v>
      </c>
      <c r="O29">
        <v>75.97683712682732</v>
      </c>
      <c r="P29">
        <v>64.84447270149596</v>
      </c>
      <c r="Q29">
        <v>48.695498484496277</v>
      </c>
      <c r="R29">
        <v>28.325808074236811</v>
      </c>
      <c r="S29">
        <v>10.275595112596999</v>
      </c>
      <c r="T29">
        <v>1.973951403418249</v>
      </c>
      <c r="U29">
        <v>3.6074497378288932E-2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0.24126947155774281</v>
      </c>
      <c r="H30">
        <v>2.3301551595182</v>
      </c>
      <c r="I30">
        <v>8.3068655777556195</v>
      </c>
      <c r="J30">
        <v>22.794674065023411</v>
      </c>
      <c r="K30">
        <v>38.959728659392177</v>
      </c>
      <c r="L30">
        <v>52.386163111693243</v>
      </c>
      <c r="M30">
        <v>61.132181455661403</v>
      </c>
      <c r="N30">
        <v>62.750168394309597</v>
      </c>
      <c r="O30">
        <v>57.404144840319617</v>
      </c>
      <c r="P30">
        <v>46.071887073162308</v>
      </c>
      <c r="Q30">
        <v>30.79783640445854</v>
      </c>
      <c r="R30">
        <v>14.97987122531319</v>
      </c>
      <c r="S30">
        <v>4.4814746142414039</v>
      </c>
      <c r="T30">
        <v>0.97248528228756814</v>
      </c>
      <c r="U30">
        <v>1.5872991549851511E-2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0.20227222018717861</v>
      </c>
      <c r="H31">
        <v>1.798383921300553</v>
      </c>
      <c r="I31">
        <v>6.0828773125380664</v>
      </c>
      <c r="J31">
        <v>14.30064596723353</v>
      </c>
      <c r="K31">
        <v>23.500354309019482</v>
      </c>
      <c r="L31">
        <v>30.072362626737451</v>
      </c>
      <c r="M31">
        <v>31.707089933522919</v>
      </c>
      <c r="N31">
        <v>30.953166203734369</v>
      </c>
      <c r="O31">
        <v>28.590258904275039</v>
      </c>
      <c r="P31">
        <v>24.463905612456578</v>
      </c>
      <c r="Q31">
        <v>16.93754018312821</v>
      </c>
      <c r="R31">
        <v>9.0948945549616855</v>
      </c>
      <c r="S31">
        <v>3.5250531463529211</v>
      </c>
      <c r="T31">
        <v>0.86425403170885395</v>
      </c>
      <c r="U31">
        <v>1.103303019202794E-2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0.45093121722861168</v>
      </c>
      <c r="H32">
        <v>4.6180993284425211</v>
      </c>
      <c r="I32">
        <v>17.38452575220607</v>
      </c>
      <c r="J32">
        <v>38.272223398256919</v>
      </c>
      <c r="K32">
        <v>57.360141823544069</v>
      </c>
      <c r="L32">
        <v>71.160328062804211</v>
      </c>
      <c r="M32">
        <v>79.179576097193532</v>
      </c>
      <c r="N32">
        <v>80.460784418144328</v>
      </c>
      <c r="O32">
        <v>75.97683712682732</v>
      </c>
      <c r="P32">
        <v>64.84447270149596</v>
      </c>
      <c r="Q32">
        <v>48.695498484496277</v>
      </c>
      <c r="R32">
        <v>28.325808074236811</v>
      </c>
      <c r="S32">
        <v>10.275595112596999</v>
      </c>
      <c r="T32">
        <v>1.973951403418249</v>
      </c>
      <c r="U32">
        <v>3.6074497378288932E-2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0.24126947155774281</v>
      </c>
      <c r="H33">
        <v>2.3301551595182</v>
      </c>
      <c r="I33">
        <v>8.3068655777556195</v>
      </c>
      <c r="J33">
        <v>22.794674065023411</v>
      </c>
      <c r="K33">
        <v>38.959728659392177</v>
      </c>
      <c r="L33">
        <v>52.386163111693243</v>
      </c>
      <c r="M33">
        <v>61.132181455661403</v>
      </c>
      <c r="N33">
        <v>62.750168394309597</v>
      </c>
      <c r="O33">
        <v>57.404144840319617</v>
      </c>
      <c r="P33">
        <v>46.071887073162308</v>
      </c>
      <c r="Q33">
        <v>30.79783640445854</v>
      </c>
      <c r="R33">
        <v>14.97987122531319</v>
      </c>
      <c r="S33">
        <v>4.4814746142414039</v>
      </c>
      <c r="T33">
        <v>0.97248528228756814</v>
      </c>
      <c r="U33">
        <v>1.5872991549851511E-2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0.20227222018717861</v>
      </c>
      <c r="H34">
        <v>1.798383921300553</v>
      </c>
      <c r="I34">
        <v>6.0828773125380664</v>
      </c>
      <c r="J34">
        <v>14.30064596723353</v>
      </c>
      <c r="K34">
        <v>23.500354309019482</v>
      </c>
      <c r="L34">
        <v>30.072362626737451</v>
      </c>
      <c r="M34">
        <v>31.707089933522919</v>
      </c>
      <c r="N34">
        <v>30.953166203734369</v>
      </c>
      <c r="O34">
        <v>28.590258904275039</v>
      </c>
      <c r="P34">
        <v>24.463905612456578</v>
      </c>
      <c r="Q34">
        <v>16.93754018312821</v>
      </c>
      <c r="R34">
        <v>9.0948945549616855</v>
      </c>
      <c r="S34">
        <v>3.5250531463529211</v>
      </c>
      <c r="T34">
        <v>0.86425403170885395</v>
      </c>
      <c r="U34">
        <v>1.103303019202794E-2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0.45093121722861179</v>
      </c>
      <c r="H35">
        <v>4.6180993284425229</v>
      </c>
      <c r="I35">
        <v>17.384525752206081</v>
      </c>
      <c r="J35">
        <v>38.272223398256934</v>
      </c>
      <c r="K35">
        <v>57.360141823544083</v>
      </c>
      <c r="L35">
        <v>71.160328062804226</v>
      </c>
      <c r="M35">
        <v>79.179576097193547</v>
      </c>
      <c r="N35">
        <v>80.460784418144357</v>
      </c>
      <c r="O35">
        <v>75.976837126827334</v>
      </c>
      <c r="P35">
        <v>64.844472701495974</v>
      </c>
      <c r="Q35">
        <v>48.695498484496291</v>
      </c>
      <c r="R35">
        <v>28.325808074236811</v>
      </c>
      <c r="S35">
        <v>10.275595112596999</v>
      </c>
      <c r="T35">
        <v>1.973951403418249</v>
      </c>
      <c r="U35">
        <v>3.6074497378288953E-2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0.24126947155774289</v>
      </c>
      <c r="H36">
        <v>2.3301551595182008</v>
      </c>
      <c r="I36">
        <v>8.3068655777556213</v>
      </c>
      <c r="J36">
        <v>22.794674065023418</v>
      </c>
      <c r="K36">
        <v>38.959728659392191</v>
      </c>
      <c r="L36">
        <v>52.38616311169325</v>
      </c>
      <c r="M36">
        <v>61.132181455661417</v>
      </c>
      <c r="N36">
        <v>62.750168394309632</v>
      </c>
      <c r="O36">
        <v>57.404144840319631</v>
      </c>
      <c r="P36">
        <v>46.071887073162323</v>
      </c>
      <c r="Q36">
        <v>30.79783640445855</v>
      </c>
      <c r="R36">
        <v>14.9798712253132</v>
      </c>
      <c r="S36">
        <v>4.4814746142414048</v>
      </c>
      <c r="T36">
        <v>0.97248528228756836</v>
      </c>
      <c r="U36">
        <v>1.5872991549851511E-2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0.20227222018717869</v>
      </c>
      <c r="H37">
        <v>1.7983839213005539</v>
      </c>
      <c r="I37">
        <v>6.0828773125380664</v>
      </c>
      <c r="J37">
        <v>14.30064596723353</v>
      </c>
      <c r="K37">
        <v>23.500354309019482</v>
      </c>
      <c r="L37">
        <v>30.072362626737458</v>
      </c>
      <c r="M37">
        <v>31.70708993352293</v>
      </c>
      <c r="N37">
        <v>30.95316620373438</v>
      </c>
      <c r="O37">
        <v>28.59025890427505</v>
      </c>
      <c r="P37">
        <v>24.463905612456589</v>
      </c>
      <c r="Q37">
        <v>16.93754018312821</v>
      </c>
      <c r="R37">
        <v>9.0948945549616873</v>
      </c>
      <c r="S37">
        <v>3.525053146352922</v>
      </c>
      <c r="T37">
        <v>0.86425403170885418</v>
      </c>
      <c r="U37">
        <v>1.103303019202794E-2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0.45093121722861179</v>
      </c>
      <c r="H38">
        <v>4.6180993284425229</v>
      </c>
      <c r="I38">
        <v>17.384525752206081</v>
      </c>
      <c r="J38">
        <v>38.272223398256934</v>
      </c>
      <c r="K38">
        <v>57.360141823544083</v>
      </c>
      <c r="L38">
        <v>71.160328062804226</v>
      </c>
      <c r="M38">
        <v>79.179576097193547</v>
      </c>
      <c r="N38">
        <v>80.460784418144357</v>
      </c>
      <c r="O38">
        <v>75.976837126827334</v>
      </c>
      <c r="P38">
        <v>64.844472701495974</v>
      </c>
      <c r="Q38">
        <v>48.695498484496291</v>
      </c>
      <c r="R38">
        <v>28.325808074236811</v>
      </c>
      <c r="S38">
        <v>10.275595112596999</v>
      </c>
      <c r="T38">
        <v>1.973951403418249</v>
      </c>
      <c r="U38">
        <v>3.6074497378288953E-2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0.24126947155774289</v>
      </c>
      <c r="H39">
        <v>2.3301551595182008</v>
      </c>
      <c r="I39">
        <v>8.3068655777556213</v>
      </c>
      <c r="J39">
        <v>22.794674065023418</v>
      </c>
      <c r="K39">
        <v>38.959728659392191</v>
      </c>
      <c r="L39">
        <v>52.38616311169325</v>
      </c>
      <c r="M39">
        <v>61.132181455661417</v>
      </c>
      <c r="N39">
        <v>62.750168394309632</v>
      </c>
      <c r="O39">
        <v>57.404144840319631</v>
      </c>
      <c r="P39">
        <v>46.071887073162323</v>
      </c>
      <c r="Q39">
        <v>30.79783640445855</v>
      </c>
      <c r="R39">
        <v>14.9798712253132</v>
      </c>
      <c r="S39">
        <v>4.4814746142414048</v>
      </c>
      <c r="T39">
        <v>0.97248528228756836</v>
      </c>
      <c r="U39">
        <v>1.5872991549851511E-2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0.20227222018717869</v>
      </c>
      <c r="H40">
        <v>1.7983839213005539</v>
      </c>
      <c r="I40">
        <v>6.0828773125380664</v>
      </c>
      <c r="J40">
        <v>14.30064596723353</v>
      </c>
      <c r="K40">
        <v>23.500354309019482</v>
      </c>
      <c r="L40">
        <v>30.072362626737458</v>
      </c>
      <c r="M40">
        <v>31.70708993352293</v>
      </c>
      <c r="N40">
        <v>30.95316620373438</v>
      </c>
      <c r="O40">
        <v>28.59025890427505</v>
      </c>
      <c r="P40">
        <v>24.463905612456589</v>
      </c>
      <c r="Q40">
        <v>16.93754018312821</v>
      </c>
      <c r="R40">
        <v>9.0948945549616873</v>
      </c>
      <c r="S40">
        <v>3.525053146352922</v>
      </c>
      <c r="T40">
        <v>0.86425403170885418</v>
      </c>
      <c r="U40">
        <v>1.103303019202794E-2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0.45093121722861179</v>
      </c>
      <c r="H41">
        <v>4.6180993284425229</v>
      </c>
      <c r="I41">
        <v>17.384525752206081</v>
      </c>
      <c r="J41">
        <v>38.272223398256934</v>
      </c>
      <c r="K41">
        <v>57.360141823544083</v>
      </c>
      <c r="L41">
        <v>71.160328062804226</v>
      </c>
      <c r="M41">
        <v>79.179576097193547</v>
      </c>
      <c r="N41">
        <v>80.460784418144357</v>
      </c>
      <c r="O41">
        <v>75.976837126827334</v>
      </c>
      <c r="P41">
        <v>64.844472701495974</v>
      </c>
      <c r="Q41">
        <v>48.695498484496291</v>
      </c>
      <c r="R41">
        <v>28.325808074236811</v>
      </c>
      <c r="S41">
        <v>10.275595112596999</v>
      </c>
      <c r="T41">
        <v>1.973951403418249</v>
      </c>
      <c r="U41">
        <v>3.6074497378288953E-2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0.24126947155774289</v>
      </c>
      <c r="H42">
        <v>2.3301551595182008</v>
      </c>
      <c r="I42">
        <v>8.3068655777556213</v>
      </c>
      <c r="J42">
        <v>22.794674065023418</v>
      </c>
      <c r="K42">
        <v>38.959728659392191</v>
      </c>
      <c r="L42">
        <v>52.38616311169325</v>
      </c>
      <c r="M42">
        <v>42.205956704822768</v>
      </c>
      <c r="N42">
        <v>0</v>
      </c>
      <c r="O42">
        <v>57.404144840319631</v>
      </c>
      <c r="P42">
        <v>46.071887073162323</v>
      </c>
      <c r="Q42">
        <v>30.79783640445855</v>
      </c>
      <c r="R42">
        <v>14.9798712253132</v>
      </c>
      <c r="S42">
        <v>4.4814746142414048</v>
      </c>
      <c r="T42">
        <v>0.97248528228756836</v>
      </c>
      <c r="U42">
        <v>1.5872991549851511E-2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0.20227222018717869</v>
      </c>
      <c r="H43">
        <v>1.7983839213005539</v>
      </c>
      <c r="I43">
        <v>6.0828773125380664</v>
      </c>
      <c r="J43">
        <v>14.30064596723353</v>
      </c>
      <c r="K43">
        <v>23.500354309019482</v>
      </c>
      <c r="L43">
        <v>30.072362626737458</v>
      </c>
      <c r="M43">
        <v>31.70708993352293</v>
      </c>
      <c r="N43">
        <v>30.95316620373438</v>
      </c>
      <c r="O43">
        <v>28.59025890427505</v>
      </c>
      <c r="P43">
        <v>24.463905612456589</v>
      </c>
      <c r="Q43">
        <v>16.93754018312821</v>
      </c>
      <c r="R43">
        <v>9.0948945549616873</v>
      </c>
      <c r="S43">
        <v>3.525053146352922</v>
      </c>
      <c r="T43">
        <v>0.86425403170885418</v>
      </c>
      <c r="U43">
        <v>1.103303019202794E-2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0.45093121722861179</v>
      </c>
      <c r="H44">
        <v>4.6180993284425229</v>
      </c>
      <c r="I44">
        <v>17.384525752206081</v>
      </c>
      <c r="J44">
        <v>38.272223398256934</v>
      </c>
      <c r="K44">
        <v>57.360141823544083</v>
      </c>
      <c r="L44">
        <v>71.160328062804226</v>
      </c>
      <c r="M44">
        <v>79.179576097193547</v>
      </c>
      <c r="N44">
        <v>80.460784418144357</v>
      </c>
      <c r="O44">
        <v>75.976837126827334</v>
      </c>
      <c r="P44">
        <v>64.844472701495974</v>
      </c>
      <c r="Q44">
        <v>48.695498484496291</v>
      </c>
      <c r="R44">
        <v>28.325808074236811</v>
      </c>
      <c r="S44">
        <v>10.275595112596999</v>
      </c>
      <c r="T44">
        <v>1.973951403418249</v>
      </c>
      <c r="U44">
        <v>3.6074497378288953E-2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0.24126947155774289</v>
      </c>
      <c r="H45">
        <v>2.3301551595182008</v>
      </c>
      <c r="I45">
        <v>8.3068655777556213</v>
      </c>
      <c r="J45">
        <v>22.794674065023418</v>
      </c>
      <c r="K45">
        <v>9.0842640177500584</v>
      </c>
      <c r="L45">
        <v>52.38616311169325</v>
      </c>
      <c r="M45">
        <v>0</v>
      </c>
      <c r="N45">
        <v>17.77632427258413</v>
      </c>
      <c r="O45">
        <v>57.404144840319631</v>
      </c>
      <c r="P45">
        <v>46.071887073162323</v>
      </c>
      <c r="Q45">
        <v>30.79783640445855</v>
      </c>
      <c r="R45">
        <v>14.9798712253132</v>
      </c>
      <c r="S45">
        <v>4.4814746142414048</v>
      </c>
      <c r="T45">
        <v>0.97248528228756836</v>
      </c>
      <c r="U45">
        <v>1.5872991549851511E-2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0.20227222018717869</v>
      </c>
      <c r="H46">
        <v>1.7983839213005539</v>
      </c>
      <c r="I46">
        <v>6.0828773125380664</v>
      </c>
      <c r="J46">
        <v>14.30064596723353</v>
      </c>
      <c r="K46">
        <v>23.500354309019482</v>
      </c>
      <c r="L46">
        <v>30.072362626737458</v>
      </c>
      <c r="M46">
        <v>31.70708993352293</v>
      </c>
      <c r="N46">
        <v>30.95316620373438</v>
      </c>
      <c r="O46">
        <v>28.59025890427505</v>
      </c>
      <c r="P46">
        <v>24.463905612456589</v>
      </c>
      <c r="Q46">
        <v>16.93754018312821</v>
      </c>
      <c r="R46">
        <v>9.0948945549616873</v>
      </c>
      <c r="S46">
        <v>3.525053146352922</v>
      </c>
      <c r="T46">
        <v>0.86425403170885418</v>
      </c>
      <c r="U46">
        <v>1.103303019202794E-2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104.05556152618421</v>
      </c>
      <c r="L2">
        <v>181.8947995804632</v>
      </c>
      <c r="M2">
        <v>219.1673002655597</v>
      </c>
      <c r="N2">
        <v>207.93386081539319</v>
      </c>
      <c r="O2">
        <v>150.7019698410586</v>
      </c>
      <c r="P2">
        <v>90.565712416213103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126.6237980382196</v>
      </c>
      <c r="L3">
        <v>0</v>
      </c>
      <c r="M3">
        <v>241.01428887765911</v>
      </c>
      <c r="N3">
        <v>241.01428887765911</v>
      </c>
      <c r="O3">
        <v>241.01428887765911</v>
      </c>
      <c r="P3">
        <v>34.55702612384782</v>
      </c>
      <c r="Q3">
        <v>70.095513649827581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27.590025260316139</v>
      </c>
      <c r="M4">
        <v>39.583876961840588</v>
      </c>
      <c r="N4">
        <v>44.132172379228592</v>
      </c>
      <c r="O4">
        <v>24.585127914039671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104.05556152618421</v>
      </c>
      <c r="L5">
        <v>181.8947995804632</v>
      </c>
      <c r="M5">
        <v>219.16730026555979</v>
      </c>
      <c r="N5">
        <v>207.93386081539319</v>
      </c>
      <c r="O5">
        <v>150.7019698410586</v>
      </c>
      <c r="P5">
        <v>90.565712416213103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126.6237980382196</v>
      </c>
      <c r="L6">
        <v>232.28596552358499</v>
      </c>
      <c r="M6">
        <v>99.811277129973959</v>
      </c>
      <c r="N6">
        <v>0</v>
      </c>
      <c r="O6">
        <v>241.01428887765911</v>
      </c>
      <c r="P6">
        <v>184.48836122560689</v>
      </c>
      <c r="Q6">
        <v>70.095513649827581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27.590025260316139</v>
      </c>
      <c r="M7">
        <v>39.583876961840588</v>
      </c>
      <c r="N7">
        <v>44.132172379228592</v>
      </c>
      <c r="O7">
        <v>24.585127914039671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104.05556152618421</v>
      </c>
      <c r="L8">
        <v>181.8947995804632</v>
      </c>
      <c r="M8">
        <v>219.16730026555979</v>
      </c>
      <c r="N8">
        <v>207.93386081539319</v>
      </c>
      <c r="O8">
        <v>150.7019698410586</v>
      </c>
      <c r="P8">
        <v>90.565712416213103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217.70675181411951</v>
      </c>
      <c r="N9">
        <v>241.01428887765911</v>
      </c>
      <c r="O9">
        <v>241.01428887765911</v>
      </c>
      <c r="P9">
        <v>184.48836122560689</v>
      </c>
      <c r="Q9">
        <v>70.095513649827581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27.590025260316139</v>
      </c>
      <c r="M10">
        <v>39.583876961840588</v>
      </c>
      <c r="N10">
        <v>44.132172379228592</v>
      </c>
      <c r="O10">
        <v>24.585127914039671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26.322934043644398</v>
      </c>
      <c r="K11">
        <v>161.41570334972829</v>
      </c>
      <c r="L11">
        <v>253.05512764326741</v>
      </c>
      <c r="M11">
        <v>298.34687636275328</v>
      </c>
      <c r="N11">
        <v>288.39464523353757</v>
      </c>
      <c r="O11">
        <v>226.67880696788589</v>
      </c>
      <c r="P11">
        <v>155.41018511770909</v>
      </c>
      <c r="Q11">
        <v>38.704799269951479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22.048082738765562</v>
      </c>
      <c r="K12">
        <v>0</v>
      </c>
      <c r="L12">
        <v>72.379528431027367</v>
      </c>
      <c r="M12">
        <v>365.77698653280419</v>
      </c>
      <c r="N12">
        <v>348.00066226022022</v>
      </c>
      <c r="O12">
        <v>308.67021967260467</v>
      </c>
      <c r="P12">
        <v>230.56024829876921</v>
      </c>
      <c r="Q12">
        <v>100.8933500542861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47.652366021191497</v>
      </c>
      <c r="K13">
        <v>127.9417626537674</v>
      </c>
      <c r="L13">
        <v>184.37328805768431</v>
      </c>
      <c r="M13">
        <v>198.00186706599419</v>
      </c>
      <c r="N13">
        <v>201.79623875359371</v>
      </c>
      <c r="O13">
        <v>179.8862869889455</v>
      </c>
      <c r="P13">
        <v>148.45336504798081</v>
      </c>
      <c r="Q13">
        <v>57.486397102064558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26.322934043644398</v>
      </c>
      <c r="K14">
        <v>161.41570334972829</v>
      </c>
      <c r="L14">
        <v>253.05512764326741</v>
      </c>
      <c r="M14">
        <v>298.34687636275328</v>
      </c>
      <c r="N14">
        <v>288.39464523353757</v>
      </c>
      <c r="O14">
        <v>226.67880696788589</v>
      </c>
      <c r="P14">
        <v>155.41018511770909</v>
      </c>
      <c r="Q14">
        <v>38.704799269951479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22.048082738765562</v>
      </c>
      <c r="K15">
        <v>126.6237980382196</v>
      </c>
      <c r="L15">
        <v>232.28596552358499</v>
      </c>
      <c r="M15">
        <v>323.57102982798159</v>
      </c>
      <c r="N15">
        <v>348.00066226022022</v>
      </c>
      <c r="O15">
        <v>141.21566472427119</v>
      </c>
      <c r="P15">
        <v>184.48836122560689</v>
      </c>
      <c r="Q15">
        <v>70.095513649827581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47.65236602119149</v>
      </c>
      <c r="K16">
        <v>127.9417626537674</v>
      </c>
      <c r="L16">
        <v>184.37328805768431</v>
      </c>
      <c r="M16">
        <v>198.00186706599419</v>
      </c>
      <c r="N16">
        <v>201.79623875359371</v>
      </c>
      <c r="O16">
        <v>179.88628698894539</v>
      </c>
      <c r="P16">
        <v>148.45336504798081</v>
      </c>
      <c r="Q16">
        <v>57.486397102064238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186.75172262978359</v>
      </c>
      <c r="K17">
        <v>161.41570334972829</v>
      </c>
      <c r="L17">
        <v>253.05512764326741</v>
      </c>
      <c r="M17">
        <v>298.34687636275328</v>
      </c>
      <c r="N17">
        <v>288.39464523353757</v>
      </c>
      <c r="O17">
        <v>226.67880696788589</v>
      </c>
      <c r="P17">
        <v>255.21964927321429</v>
      </c>
      <c r="Q17">
        <v>199.1335878560906</v>
      </c>
      <c r="R17">
        <v>38.885478719226271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22.048082738765562</v>
      </c>
      <c r="K18">
        <v>165.5835266976118</v>
      </c>
      <c r="L18">
        <v>284.67212863527823</v>
      </c>
      <c r="M18">
        <v>384.70321128364299</v>
      </c>
      <c r="N18">
        <v>410.75083065452981</v>
      </c>
      <c r="O18">
        <v>308.67021967260467</v>
      </c>
      <c r="P18">
        <v>230.56024829876921</v>
      </c>
      <c r="Q18">
        <v>100.8933500542847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1.2308624831366259</v>
      </c>
      <c r="L19">
        <v>57.662387887053598</v>
      </c>
      <c r="M19">
        <v>71.290966895363511</v>
      </c>
      <c r="N19">
        <v>191.34684633263649</v>
      </c>
      <c r="O19">
        <v>53.17538681831472</v>
      </c>
      <c r="P19">
        <v>182.17125346348919</v>
      </c>
      <c r="Q19">
        <v>91.20428551757297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186.75172262978339</v>
      </c>
      <c r="K20">
        <v>161.41570334972829</v>
      </c>
      <c r="L20">
        <v>413.48391622940642</v>
      </c>
      <c r="M20">
        <v>298.34687636275328</v>
      </c>
      <c r="N20">
        <v>288.39464523353757</v>
      </c>
      <c r="O20">
        <v>226.67880696788589</v>
      </c>
      <c r="P20">
        <v>155.41018511770909</v>
      </c>
      <c r="Q20">
        <v>138.51426342545679</v>
      </c>
      <c r="R20">
        <v>38.885478719226157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22.048082738765562</v>
      </c>
      <c r="K21">
        <v>165.5835266976118</v>
      </c>
      <c r="L21">
        <v>284.67212863527823</v>
      </c>
      <c r="M21">
        <v>384.70321128364299</v>
      </c>
      <c r="N21">
        <v>410.75083065452981</v>
      </c>
      <c r="O21">
        <v>308.67021967260467</v>
      </c>
      <c r="P21">
        <v>230.56024829876921</v>
      </c>
      <c r="Q21">
        <v>100.8933500542847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81.370254436699796</v>
      </c>
      <c r="K22">
        <v>161.6596510692757</v>
      </c>
      <c r="L22">
        <v>57.662387887053598</v>
      </c>
      <c r="M22">
        <v>106.1822202083388</v>
      </c>
      <c r="N22">
        <v>75.085338582962962</v>
      </c>
      <c r="O22">
        <v>53.17538681831472</v>
      </c>
      <c r="P22">
        <v>21.74246487735007</v>
      </c>
      <c r="Q22">
        <v>91.204285517572856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26.322934043644398</v>
      </c>
      <c r="K23">
        <v>161.41570334972829</v>
      </c>
      <c r="L23">
        <v>253.05512764326741</v>
      </c>
      <c r="M23">
        <v>298.34687636275328</v>
      </c>
      <c r="N23">
        <v>288.39464523353757</v>
      </c>
      <c r="O23">
        <v>326.48827112339131</v>
      </c>
      <c r="P23">
        <v>315.83897370384813</v>
      </c>
      <c r="Q23">
        <v>199.13358785609049</v>
      </c>
      <c r="R23">
        <v>38.885478719226157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22.048082738765562</v>
      </c>
      <c r="K24">
        <v>165.5835266976118</v>
      </c>
      <c r="L24">
        <v>284.67212863527823</v>
      </c>
      <c r="M24">
        <v>384.70321128364299</v>
      </c>
      <c r="N24">
        <v>410.75083065452981</v>
      </c>
      <c r="O24">
        <v>308.67021967260467</v>
      </c>
      <c r="P24">
        <v>230.56024829876921</v>
      </c>
      <c r="Q24">
        <v>100.8933500542861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81.370254436699796</v>
      </c>
      <c r="K25">
        <v>161.6596510692757</v>
      </c>
      <c r="L25">
        <v>57.662387887053598</v>
      </c>
      <c r="M25">
        <v>197.38650572591169</v>
      </c>
      <c r="N25">
        <v>75.085338582962962</v>
      </c>
      <c r="O25">
        <v>53.17538681831472</v>
      </c>
      <c r="P25">
        <v>21.74246487735007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26.322934043644398</v>
      </c>
      <c r="K26">
        <v>161.41570334972829</v>
      </c>
      <c r="L26">
        <v>379.76602781389818</v>
      </c>
      <c r="M26">
        <v>298.34687636275328</v>
      </c>
      <c r="N26">
        <v>362.64687446493849</v>
      </c>
      <c r="O26">
        <v>226.67880696788589</v>
      </c>
      <c r="P26">
        <v>282.12108528833983</v>
      </c>
      <c r="Q26">
        <v>165.41569944058219</v>
      </c>
      <c r="R26">
        <v>5.1675903037178479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22.048082738765562</v>
      </c>
      <c r="K27">
        <v>165.5835266976118</v>
      </c>
      <c r="L27">
        <v>284.67212863527823</v>
      </c>
      <c r="M27">
        <v>384.70321128364299</v>
      </c>
      <c r="N27">
        <v>410.75083065452981</v>
      </c>
      <c r="O27">
        <v>308.67021967260467</v>
      </c>
      <c r="P27">
        <v>230.56024829876921</v>
      </c>
      <c r="Q27">
        <v>100.8933500542861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47.652366021191483</v>
      </c>
      <c r="K28">
        <v>127.9417626537673</v>
      </c>
      <c r="L28">
        <v>184.37328805768431</v>
      </c>
      <c r="M28">
        <v>198.00186706599419</v>
      </c>
      <c r="N28">
        <v>201.79623875359371</v>
      </c>
      <c r="O28">
        <v>179.88628698894539</v>
      </c>
      <c r="P28">
        <v>148.45336504798081</v>
      </c>
      <c r="Q28">
        <v>57.486397102064537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26.322934043644398</v>
      </c>
      <c r="K29">
        <v>161.41570334972829</v>
      </c>
      <c r="L29">
        <v>353.69599623712293</v>
      </c>
      <c r="M29">
        <v>458.49853013610942</v>
      </c>
      <c r="N29">
        <v>288.39464523353757</v>
      </c>
      <c r="O29">
        <v>386.83046074124212</v>
      </c>
      <c r="P29">
        <v>155.41018511770909</v>
      </c>
      <c r="Q29">
        <v>38.704799269951479</v>
      </c>
      <c r="R29">
        <v>38.608343906443267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22.048082738765562</v>
      </c>
      <c r="K30">
        <v>165.5835266976118</v>
      </c>
      <c r="L30">
        <v>284.67212863527823</v>
      </c>
      <c r="M30">
        <v>384.70321128364299</v>
      </c>
      <c r="N30">
        <v>410.75083065452981</v>
      </c>
      <c r="O30">
        <v>308.67021967260467</v>
      </c>
      <c r="P30">
        <v>230.56024829876921</v>
      </c>
      <c r="Q30">
        <v>100.8933500542861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1.2308624831366259</v>
      </c>
      <c r="L31">
        <v>57.662387887053598</v>
      </c>
      <c r="M31">
        <v>71.290966895363511</v>
      </c>
      <c r="N31">
        <v>75.085338582962962</v>
      </c>
      <c r="O31">
        <v>173.38430545811499</v>
      </c>
      <c r="P31">
        <v>181.89411865070619</v>
      </c>
      <c r="Q31">
        <v>90.927150704789966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188.46700255128599</v>
      </c>
      <c r="K32">
        <v>161.41570334972829</v>
      </c>
      <c r="L32">
        <v>253.05512764326741</v>
      </c>
      <c r="M32">
        <v>298.34687636275328</v>
      </c>
      <c r="N32">
        <v>288.39464523353757</v>
      </c>
      <c r="O32">
        <v>432.57755226119627</v>
      </c>
      <c r="P32">
        <v>155.41018511770909</v>
      </c>
      <c r="Q32">
        <v>38.704799269951479</v>
      </c>
      <c r="R32">
        <v>84.355435426397449</v>
      </c>
      <c r="S32">
        <v>7.1542708196619866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22.048082738765562</v>
      </c>
      <c r="K33">
        <v>165.5835266976118</v>
      </c>
      <c r="L33">
        <v>284.67212863527823</v>
      </c>
      <c r="M33">
        <v>384.70321128364299</v>
      </c>
      <c r="N33">
        <v>410.75083065452981</v>
      </c>
      <c r="O33">
        <v>308.67021967260467</v>
      </c>
      <c r="P33">
        <v>230.56024829876921</v>
      </c>
      <c r="Q33">
        <v>100.8933500542861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2.1827366059987341</v>
      </c>
      <c r="L34">
        <v>57.662387887053598</v>
      </c>
      <c r="M34">
        <v>71.290966895363511</v>
      </c>
      <c r="N34">
        <v>75.085338582962962</v>
      </c>
      <c r="O34">
        <v>53.17538681831472</v>
      </c>
      <c r="P34">
        <v>21.74246487735007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12.80738147511061</v>
      </c>
      <c r="J35">
        <v>26.32293404364442</v>
      </c>
      <c r="K35">
        <v>161.41570334972829</v>
      </c>
      <c r="L35">
        <v>253.05512764326741</v>
      </c>
      <c r="M35">
        <v>298.34687636275328</v>
      </c>
      <c r="N35">
        <v>437.73133226606723</v>
      </c>
      <c r="O35">
        <v>226.678806967886</v>
      </c>
      <c r="P35">
        <v>155.41018511770909</v>
      </c>
      <c r="Q35">
        <v>244.60354456326189</v>
      </c>
      <c r="R35">
        <v>84.355435426397577</v>
      </c>
      <c r="S35">
        <v>7.1542708196621021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22.048082738765562</v>
      </c>
      <c r="K36">
        <v>165.5835266976118</v>
      </c>
      <c r="L36">
        <v>284.67212863527823</v>
      </c>
      <c r="M36">
        <v>384.70321128364299</v>
      </c>
      <c r="N36">
        <v>410.75083065452992</v>
      </c>
      <c r="O36">
        <v>308.67021967260467</v>
      </c>
      <c r="P36">
        <v>230.56024829876921</v>
      </c>
      <c r="Q36">
        <v>100.8933500542861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0.95187412286131468</v>
      </c>
      <c r="J37">
        <v>0</v>
      </c>
      <c r="K37">
        <v>1.230862483136629</v>
      </c>
      <c r="L37">
        <v>57.662387887053598</v>
      </c>
      <c r="M37">
        <v>71.290966895363511</v>
      </c>
      <c r="N37">
        <v>75.085338582962976</v>
      </c>
      <c r="O37">
        <v>53.17538681831472</v>
      </c>
      <c r="P37">
        <v>21.74246487735007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12.80738147511061</v>
      </c>
      <c r="J38">
        <v>26.32293404364442</v>
      </c>
      <c r="K38">
        <v>161.41570334972829</v>
      </c>
      <c r="L38">
        <v>253.05512764326741</v>
      </c>
      <c r="M38">
        <v>298.34687636275328</v>
      </c>
      <c r="N38">
        <v>437.73133226606723</v>
      </c>
      <c r="O38">
        <v>226.678806967886</v>
      </c>
      <c r="P38">
        <v>155.41018511770909</v>
      </c>
      <c r="Q38">
        <v>244.60354456326189</v>
      </c>
      <c r="R38">
        <v>84.355435426397577</v>
      </c>
      <c r="S38">
        <v>7.1542708196621021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22.048082738765562</v>
      </c>
      <c r="K39">
        <v>165.5835266976118</v>
      </c>
      <c r="L39">
        <v>284.67212863527823</v>
      </c>
      <c r="M39">
        <v>384.70321128364299</v>
      </c>
      <c r="N39">
        <v>410.75083065452992</v>
      </c>
      <c r="O39">
        <v>308.67021967260467</v>
      </c>
      <c r="P39">
        <v>230.56024829876901</v>
      </c>
      <c r="Q39">
        <v>100.8933500542861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60</v>
      </c>
      <c r="B40">
        <v>0</v>
      </c>
      <c r="C40">
        <v>0</v>
      </c>
      <c r="D40">
        <v>0</v>
      </c>
      <c r="E40">
        <v>0</v>
      </c>
      <c r="F40">
        <v>0.95187412286131468</v>
      </c>
      <c r="G40">
        <v>0</v>
      </c>
      <c r="H40">
        <v>0</v>
      </c>
      <c r="I40">
        <v>0</v>
      </c>
      <c r="J40">
        <v>0</v>
      </c>
      <c r="K40">
        <v>1.230862483136629</v>
      </c>
      <c r="L40">
        <v>57.662387887053598</v>
      </c>
      <c r="M40">
        <v>71.290966895363511</v>
      </c>
      <c r="N40">
        <v>75.085338582962976</v>
      </c>
      <c r="O40">
        <v>53.17538681831472</v>
      </c>
      <c r="P40">
        <v>21.74246487735007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26.32293404364442</v>
      </c>
      <c r="K41">
        <v>161.41570334972829</v>
      </c>
      <c r="L41">
        <v>253.05512764326741</v>
      </c>
      <c r="M41">
        <v>298.34687636275322</v>
      </c>
      <c r="N41">
        <v>288.39464523353757</v>
      </c>
      <c r="O41">
        <v>226.678806967886</v>
      </c>
      <c r="P41">
        <v>155.41018511770909</v>
      </c>
      <c r="Q41">
        <v>38.704799269951486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22.048082738765562</v>
      </c>
      <c r="K42">
        <v>165.5835266976118</v>
      </c>
      <c r="L42">
        <v>284.67212863527823</v>
      </c>
      <c r="M42">
        <v>365.77698653280441</v>
      </c>
      <c r="N42">
        <v>71.017885412643892</v>
      </c>
      <c r="O42">
        <v>308.67021967260467</v>
      </c>
      <c r="P42">
        <v>230.56024829876921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33.847199388748763</v>
      </c>
      <c r="K43">
        <v>114.13659602132461</v>
      </c>
      <c r="L43">
        <v>170.5681214252416</v>
      </c>
      <c r="M43">
        <v>184.19670043355151</v>
      </c>
      <c r="N43">
        <v>187.99107212115101</v>
      </c>
      <c r="O43">
        <v>166.08112035650271</v>
      </c>
      <c r="P43">
        <v>134.6481984155381</v>
      </c>
      <c r="Q43">
        <v>43.681230469621823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26.32293404364442</v>
      </c>
      <c r="K44">
        <v>161.41570334972829</v>
      </c>
      <c r="L44">
        <v>253.05512764326741</v>
      </c>
      <c r="M44">
        <v>298.34687636275328</v>
      </c>
      <c r="N44">
        <v>288.39464523353757</v>
      </c>
      <c r="O44">
        <v>226.678806967886</v>
      </c>
      <c r="P44">
        <v>155.41018511770909</v>
      </c>
      <c r="Q44">
        <v>38.704799269951486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22.048082738765562</v>
      </c>
      <c r="K45">
        <v>135.70806205596969</v>
      </c>
      <c r="L45">
        <v>284.67212863527823</v>
      </c>
      <c r="M45">
        <v>0</v>
      </c>
      <c r="N45">
        <v>365.77698653280441</v>
      </c>
      <c r="O45">
        <v>308.67021967260467</v>
      </c>
      <c r="P45">
        <v>230.56024829876921</v>
      </c>
      <c r="Q45">
        <v>100.8933500542861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0.4064457860233528</v>
      </c>
      <c r="K46">
        <v>80.695842418599227</v>
      </c>
      <c r="L46">
        <v>137.12736782251619</v>
      </c>
      <c r="M46">
        <v>150.7559468308261</v>
      </c>
      <c r="N46">
        <v>154.5503185184256</v>
      </c>
      <c r="O46">
        <v>132.6403667537773</v>
      </c>
      <c r="P46">
        <v>101.2074448128127</v>
      </c>
      <c r="Q46">
        <v>10.240476866896421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0</v>
      </c>
      <c r="C2">
        <v>0</v>
      </c>
      <c r="D2">
        <v>0</v>
      </c>
      <c r="E2">
        <v>241.01428887765911</v>
      </c>
      <c r="F2">
        <v>186.9919489137622</v>
      </c>
      <c r="G2">
        <v>15.30273751513505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9.9906992145448044</v>
      </c>
      <c r="R2">
        <v>0</v>
      </c>
      <c r="S2">
        <v>0</v>
      </c>
      <c r="T2">
        <v>0</v>
      </c>
      <c r="U2">
        <v>0</v>
      </c>
      <c r="V2">
        <v>0</v>
      </c>
      <c r="W2">
        <v>241.01428887765911</v>
      </c>
      <c r="X2">
        <v>241.01428887765911</v>
      </c>
      <c r="Y2">
        <v>0</v>
      </c>
    </row>
    <row r="3" spans="1:25" x14ac:dyDescent="0.3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100.1578341526431</v>
      </c>
      <c r="S3">
        <v>171.68317110383779</v>
      </c>
      <c r="T3">
        <v>200.1647286948216</v>
      </c>
      <c r="U3">
        <v>225.94138208097479</v>
      </c>
      <c r="V3">
        <v>232.8005871494253</v>
      </c>
      <c r="W3">
        <v>4.580549094716531</v>
      </c>
      <c r="X3">
        <v>0</v>
      </c>
      <c r="Y3">
        <v>0</v>
      </c>
    </row>
    <row r="4" spans="1:25" x14ac:dyDescent="0.3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133.186967585368</v>
      </c>
      <c r="X4">
        <v>0</v>
      </c>
      <c r="Y4">
        <v>0</v>
      </c>
    </row>
    <row r="5" spans="1:25" x14ac:dyDescent="0.35">
      <c r="A5" s="1" t="s">
        <v>25</v>
      </c>
      <c r="B5">
        <v>0</v>
      </c>
      <c r="C5">
        <v>0</v>
      </c>
      <c r="D5">
        <v>0</v>
      </c>
      <c r="E5">
        <v>0</v>
      </c>
      <c r="F5">
        <v>241.01428887765911</v>
      </c>
      <c r="G5">
        <v>241.01428887765911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241.01428887765911</v>
      </c>
      <c r="W5">
        <v>0</v>
      </c>
      <c r="X5">
        <v>212.28538564344211</v>
      </c>
      <c r="Y5">
        <v>0</v>
      </c>
    </row>
    <row r="6" spans="1:25" x14ac:dyDescent="0.35">
      <c r="A6" s="1" t="s">
        <v>26</v>
      </c>
      <c r="B6">
        <v>0</v>
      </c>
      <c r="C6">
        <v>172.70849898831571</v>
      </c>
      <c r="D6">
        <v>0</v>
      </c>
      <c r="E6">
        <v>0</v>
      </c>
      <c r="F6">
        <v>145.06921239338391</v>
      </c>
      <c r="G6">
        <v>0</v>
      </c>
      <c r="H6">
        <v>78.162832489088885</v>
      </c>
      <c r="I6">
        <v>0</v>
      </c>
      <c r="J6">
        <v>0.74659132625785674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100.1578341526431</v>
      </c>
      <c r="S6">
        <v>0</v>
      </c>
      <c r="T6">
        <v>0</v>
      </c>
      <c r="U6">
        <v>0</v>
      </c>
      <c r="V6">
        <v>232.8005871494253</v>
      </c>
      <c r="W6">
        <v>0</v>
      </c>
      <c r="X6">
        <v>0</v>
      </c>
      <c r="Y6">
        <v>205.68269577730439</v>
      </c>
    </row>
    <row r="7" spans="1:25" x14ac:dyDescent="0.3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22.269491825882849</v>
      </c>
      <c r="L7">
        <v>0</v>
      </c>
      <c r="M7">
        <v>0</v>
      </c>
      <c r="N7">
        <v>0</v>
      </c>
      <c r="O7">
        <v>0</v>
      </c>
      <c r="P7">
        <v>2.721440735106512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108.1960350243787</v>
      </c>
      <c r="X7">
        <v>0</v>
      </c>
      <c r="Y7">
        <v>0</v>
      </c>
    </row>
    <row r="8" spans="1:25" x14ac:dyDescent="0.35">
      <c r="A8" s="1" t="s">
        <v>28</v>
      </c>
      <c r="B8">
        <v>0</v>
      </c>
      <c r="C8">
        <v>0</v>
      </c>
      <c r="D8">
        <v>0</v>
      </c>
      <c r="E8">
        <v>190.3453970742849</v>
      </c>
      <c r="F8">
        <v>241.01428887765911</v>
      </c>
      <c r="G8">
        <v>241.01428887765911</v>
      </c>
      <c r="H8">
        <v>241.01428887765911</v>
      </c>
      <c r="I8">
        <v>0</v>
      </c>
      <c r="J8">
        <v>11.949289354612519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9.9906992145448044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100.1578341526431</v>
      </c>
      <c r="S9">
        <v>0</v>
      </c>
      <c r="T9">
        <v>0</v>
      </c>
      <c r="U9">
        <v>225.94138208097479</v>
      </c>
      <c r="V9">
        <v>232.8005871494253</v>
      </c>
      <c r="W9">
        <v>0</v>
      </c>
      <c r="X9">
        <v>205.7729852034775</v>
      </c>
      <c r="Y9">
        <v>170.6554636898984</v>
      </c>
    </row>
    <row r="10" spans="1:25" x14ac:dyDescent="0.3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2.721440735106512</v>
      </c>
      <c r="Q10">
        <v>0</v>
      </c>
      <c r="R10">
        <v>130.46552685026151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31</v>
      </c>
      <c r="B11">
        <v>0</v>
      </c>
      <c r="C11">
        <v>238.56199160037681</v>
      </c>
      <c r="D11">
        <v>0</v>
      </c>
      <c r="E11">
        <v>0</v>
      </c>
      <c r="F11">
        <v>0</v>
      </c>
      <c r="G11">
        <v>191.80439409265301</v>
      </c>
      <c r="H11">
        <v>208.14580261669391</v>
      </c>
      <c r="I11">
        <v>66.380463647569101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72.033574303017602</v>
      </c>
      <c r="T11">
        <v>94.410997990082365</v>
      </c>
      <c r="U11">
        <v>124.59867823982751</v>
      </c>
      <c r="V11">
        <v>201.0413582995042</v>
      </c>
      <c r="W11">
        <v>222.5300685467823</v>
      </c>
      <c r="X11">
        <v>0</v>
      </c>
      <c r="Y11">
        <v>0</v>
      </c>
    </row>
    <row r="12" spans="1:25" x14ac:dyDescent="0.35">
      <c r="A12" s="1" t="s">
        <v>32</v>
      </c>
      <c r="B12">
        <v>58.242825154847473</v>
      </c>
      <c r="C12">
        <v>172.70849898831571</v>
      </c>
      <c r="D12">
        <v>20.73416539400802</v>
      </c>
      <c r="E12">
        <v>30.934180284770211</v>
      </c>
      <c r="F12">
        <v>18.358312222753138</v>
      </c>
      <c r="G12">
        <v>10.39134752102215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40.490796318965678</v>
      </c>
      <c r="T12">
        <v>199.192243412534</v>
      </c>
      <c r="U12">
        <v>99.214608918794227</v>
      </c>
      <c r="V12">
        <v>232.8005871494253</v>
      </c>
      <c r="W12">
        <v>124.9840829902889</v>
      </c>
      <c r="X12">
        <v>205.7729852034775</v>
      </c>
      <c r="Y12">
        <v>205.68269577730439</v>
      </c>
    </row>
    <row r="13" spans="1:25" x14ac:dyDescent="0.35">
      <c r="A13" s="1" t="s">
        <v>33</v>
      </c>
      <c r="B13">
        <v>53.12108001130656</v>
      </c>
      <c r="C13">
        <v>40.535920927997097</v>
      </c>
      <c r="D13">
        <v>21.904572847581619</v>
      </c>
      <c r="E13">
        <v>19.723062475938431</v>
      </c>
      <c r="F13">
        <v>18.710147852300508</v>
      </c>
      <c r="G13">
        <v>41.077806967640839</v>
      </c>
      <c r="H13">
        <v>33.717888415508298</v>
      </c>
      <c r="I13">
        <v>22.65669744408947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41.487596651577057</v>
      </c>
      <c r="S13">
        <v>93.780644719988729</v>
      </c>
      <c r="T13">
        <v>100.3704352259419</v>
      </c>
      <c r="U13">
        <v>159.5970961556676</v>
      </c>
      <c r="V13">
        <v>125.42674315319729</v>
      </c>
      <c r="W13">
        <v>159.81209816596029</v>
      </c>
      <c r="X13">
        <v>98.998755218406416</v>
      </c>
      <c r="Y13">
        <v>91.873753181464053</v>
      </c>
    </row>
    <row r="14" spans="1:25" x14ac:dyDescent="0.35">
      <c r="A14" s="1" t="s">
        <v>34</v>
      </c>
      <c r="B14">
        <v>256.02294149284978</v>
      </c>
      <c r="C14">
        <v>0</v>
      </c>
      <c r="D14">
        <v>0</v>
      </c>
      <c r="E14">
        <v>0</v>
      </c>
      <c r="F14">
        <v>0</v>
      </c>
      <c r="G14">
        <v>288.14090612727568</v>
      </c>
      <c r="H14">
        <v>0</v>
      </c>
      <c r="I14">
        <v>66.380463647569101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124.59867823982751</v>
      </c>
      <c r="V14">
        <v>0</v>
      </c>
      <c r="W14">
        <v>222.5300685467823</v>
      </c>
      <c r="X14">
        <v>243.0202005078383</v>
      </c>
      <c r="Y14">
        <v>218.8140707743639</v>
      </c>
    </row>
    <row r="15" spans="1:25" x14ac:dyDescent="0.35">
      <c r="A15" s="1" t="s">
        <v>35</v>
      </c>
      <c r="B15">
        <v>166.53318364986731</v>
      </c>
      <c r="C15">
        <v>45.997598817685002</v>
      </c>
      <c r="D15">
        <v>147.44506556463881</v>
      </c>
      <c r="E15">
        <v>30.934180284770211</v>
      </c>
      <c r="F15">
        <v>18.358312222753138</v>
      </c>
      <c r="G15">
        <v>10.39134752102215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85.177962927329943</v>
      </c>
      <c r="S15">
        <v>40.490796318965678</v>
      </c>
      <c r="T15">
        <v>72.481343241903303</v>
      </c>
      <c r="U15">
        <v>99.214608918794227</v>
      </c>
      <c r="V15">
        <v>232.8005871494253</v>
      </c>
      <c r="W15">
        <v>184.93756190920061</v>
      </c>
      <c r="X15">
        <v>205.7729852034775</v>
      </c>
      <c r="Y15">
        <v>78.971795606673624</v>
      </c>
    </row>
    <row r="16" spans="1:25" x14ac:dyDescent="0.35">
      <c r="A16" s="1" t="s">
        <v>36</v>
      </c>
      <c r="B16">
        <v>53.12108001130656</v>
      </c>
      <c r="C16">
        <v>40.535920927997097</v>
      </c>
      <c r="D16">
        <v>21.904572847581619</v>
      </c>
      <c r="E16">
        <v>19.723062475938431</v>
      </c>
      <c r="F16">
        <v>18.710147852300508</v>
      </c>
      <c r="G16">
        <v>41.077806967640853</v>
      </c>
      <c r="H16">
        <v>33.717888415508277</v>
      </c>
      <c r="I16">
        <v>22.656697444089481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41.487596651577057</v>
      </c>
      <c r="S16">
        <v>93.780644719988601</v>
      </c>
      <c r="T16">
        <v>100.3704352259419</v>
      </c>
      <c r="U16">
        <v>159.59709615566811</v>
      </c>
      <c r="V16">
        <v>125.42674315319729</v>
      </c>
      <c r="W16">
        <v>159.81209816596029</v>
      </c>
      <c r="X16">
        <v>98.998755218406416</v>
      </c>
      <c r="Y16">
        <v>91.873753181464053</v>
      </c>
    </row>
    <row r="17" spans="1:25" x14ac:dyDescent="0.35">
      <c r="A17" s="1" t="s">
        <v>37</v>
      </c>
      <c r="B17">
        <v>222.3050530773414</v>
      </c>
      <c r="C17">
        <v>204.8441031848684</v>
      </c>
      <c r="D17">
        <v>194.25425303454381</v>
      </c>
      <c r="E17">
        <v>221.5015814861226</v>
      </c>
      <c r="F17">
        <v>246.44725715557229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38.31568588750919</v>
      </c>
      <c r="T17">
        <v>60.69310957457396</v>
      </c>
      <c r="U17">
        <v>90.880789824319052</v>
      </c>
      <c r="V17">
        <v>167.32346988399581</v>
      </c>
      <c r="W17">
        <v>188.81218013127389</v>
      </c>
      <c r="X17">
        <v>209.30231209232991</v>
      </c>
      <c r="Y17">
        <v>25.23495890213027</v>
      </c>
    </row>
    <row r="18" spans="1:25" x14ac:dyDescent="0.35">
      <c r="A18" s="1" t="s">
        <v>38</v>
      </c>
      <c r="B18">
        <v>6.104395063728191</v>
      </c>
      <c r="C18">
        <v>12.27971040217659</v>
      </c>
      <c r="D18">
        <v>147.44506556463881</v>
      </c>
      <c r="E18">
        <v>0</v>
      </c>
      <c r="F18">
        <v>145.06921239338391</v>
      </c>
      <c r="G18">
        <v>0</v>
      </c>
      <c r="H18">
        <v>109.90528907697831</v>
      </c>
      <c r="I18">
        <v>81.089767273659461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46.952310666930011</v>
      </c>
      <c r="T18">
        <v>199.192243412534</v>
      </c>
      <c r="U18">
        <v>225.92550908942499</v>
      </c>
      <c r="V18">
        <v>232.8005871494253</v>
      </c>
      <c r="W18">
        <v>251.69498316091961</v>
      </c>
      <c r="X18">
        <v>205.7729852034775</v>
      </c>
      <c r="Y18">
        <v>205.68269577730439</v>
      </c>
    </row>
    <row r="19" spans="1:25" x14ac:dyDescent="0.35">
      <c r="A19" s="1" t="s">
        <v>39</v>
      </c>
      <c r="B19">
        <v>19.403191595798148</v>
      </c>
      <c r="C19">
        <v>6.8180325124886849</v>
      </c>
      <c r="D19">
        <v>0</v>
      </c>
      <c r="E19">
        <v>0</v>
      </c>
      <c r="F19">
        <v>0</v>
      </c>
      <c r="G19">
        <v>7.3599185521324317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7.7697082360686496</v>
      </c>
      <c r="S19">
        <v>60.062756304480182</v>
      </c>
      <c r="T19">
        <v>66.652546810433492</v>
      </c>
      <c r="U19">
        <v>125.8792077401597</v>
      </c>
      <c r="V19">
        <v>91.708854737688853</v>
      </c>
      <c r="W19">
        <v>126.0942097504519</v>
      </c>
      <c r="X19">
        <v>65.280866802898004</v>
      </c>
      <c r="Y19">
        <v>58.155864765955641</v>
      </c>
    </row>
    <row r="20" spans="1:25" x14ac:dyDescent="0.35">
      <c r="A20" s="1" t="s">
        <v>40</v>
      </c>
      <c r="B20">
        <v>222.30505307734151</v>
      </c>
      <c r="C20">
        <v>0</v>
      </c>
      <c r="D20">
        <v>194.25425303454389</v>
      </c>
      <c r="E20">
        <v>221.50158148612269</v>
      </c>
      <c r="F20">
        <v>246.4472571555724</v>
      </c>
      <c r="G20">
        <v>254.42301771176739</v>
      </c>
      <c r="H20">
        <v>174.42791420118559</v>
      </c>
      <c r="I20">
        <v>32.662575232060803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60.693109574574073</v>
      </c>
      <c r="U20">
        <v>0</v>
      </c>
      <c r="V20">
        <v>48.578662560224053</v>
      </c>
      <c r="W20">
        <v>188.812180131274</v>
      </c>
      <c r="X20">
        <v>0</v>
      </c>
      <c r="Y20">
        <v>225.80915006991461</v>
      </c>
    </row>
    <row r="21" spans="1:25" x14ac:dyDescent="0.35">
      <c r="A21" s="1" t="s">
        <v>41</v>
      </c>
      <c r="B21">
        <v>166.53318364986731</v>
      </c>
      <c r="C21">
        <v>172.70849898831571</v>
      </c>
      <c r="D21">
        <v>0</v>
      </c>
      <c r="E21">
        <v>157.64508045540089</v>
      </c>
      <c r="F21">
        <v>0</v>
      </c>
      <c r="G21">
        <v>0</v>
      </c>
      <c r="H21">
        <v>0</v>
      </c>
      <c r="I21">
        <v>81.089767273659461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85.177962927329943</v>
      </c>
      <c r="S21">
        <v>167.2016964895964</v>
      </c>
      <c r="T21">
        <v>199.192243412534</v>
      </c>
      <c r="U21">
        <v>225.92550908942499</v>
      </c>
      <c r="V21">
        <v>232.8005871494253</v>
      </c>
      <c r="W21">
        <v>251.69498316091961</v>
      </c>
      <c r="X21">
        <v>45.34419661733844</v>
      </c>
      <c r="Y21">
        <v>84.601045020768566</v>
      </c>
    </row>
    <row r="22" spans="1:25" x14ac:dyDescent="0.35">
      <c r="A22" s="1" t="s">
        <v>42</v>
      </c>
      <c r="B22">
        <v>19.403191595798258</v>
      </c>
      <c r="C22">
        <v>6.8180325124887986</v>
      </c>
      <c r="D22">
        <v>0</v>
      </c>
      <c r="E22">
        <v>0</v>
      </c>
      <c r="F22">
        <v>0</v>
      </c>
      <c r="G22">
        <v>7.3599185521325454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7.7697082360687642</v>
      </c>
      <c r="S22">
        <v>60.062756304480303</v>
      </c>
      <c r="T22">
        <v>66.652546810433606</v>
      </c>
      <c r="U22">
        <v>125.8792077401598</v>
      </c>
      <c r="V22">
        <v>91.708854737688966</v>
      </c>
      <c r="W22">
        <v>126.09420975045199</v>
      </c>
      <c r="X22">
        <v>65.280866802898117</v>
      </c>
      <c r="Y22">
        <v>58.155864765955762</v>
      </c>
    </row>
    <row r="23" spans="1:25" x14ac:dyDescent="0.35">
      <c r="A23" s="1" t="s">
        <v>43</v>
      </c>
      <c r="B23">
        <v>222.30505307734151</v>
      </c>
      <c r="C23">
        <v>204.84410318486849</v>
      </c>
      <c r="D23">
        <v>194.25425303454389</v>
      </c>
      <c r="E23">
        <v>221.50158148612269</v>
      </c>
      <c r="F23">
        <v>246.4472571555724</v>
      </c>
      <c r="G23">
        <v>254.42301771176739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91.028026422119723</v>
      </c>
      <c r="X23">
        <v>209.30231209233</v>
      </c>
      <c r="Y23">
        <v>225.80915006991461</v>
      </c>
    </row>
    <row r="24" spans="1:25" x14ac:dyDescent="0.35">
      <c r="A24" s="1" t="s">
        <v>44</v>
      </c>
      <c r="B24">
        <v>166.53318364986731</v>
      </c>
      <c r="C24">
        <v>12.279710402176701</v>
      </c>
      <c r="D24">
        <v>0</v>
      </c>
      <c r="E24">
        <v>0</v>
      </c>
      <c r="F24">
        <v>0</v>
      </c>
      <c r="G24">
        <v>137.10224769165291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85.177962927329943</v>
      </c>
      <c r="S24">
        <v>147.7526457704694</v>
      </c>
      <c r="T24">
        <v>199.192243412534</v>
      </c>
      <c r="U24">
        <v>225.92550908942499</v>
      </c>
      <c r="V24">
        <v>232.8005871494253</v>
      </c>
      <c r="W24">
        <v>251.69498316091961</v>
      </c>
      <c r="X24">
        <v>205.7729852034775</v>
      </c>
      <c r="Y24">
        <v>205.68269577730439</v>
      </c>
    </row>
    <row r="25" spans="1:25" x14ac:dyDescent="0.35">
      <c r="A25" s="1" t="s">
        <v>45</v>
      </c>
      <c r="B25">
        <v>19.403191595798258</v>
      </c>
      <c r="C25">
        <v>6.8180325124887986</v>
      </c>
      <c r="D25">
        <v>0</v>
      </c>
      <c r="E25">
        <v>0</v>
      </c>
      <c r="F25">
        <v>0</v>
      </c>
      <c r="G25">
        <v>7.3599185521325454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7.7697082360687642</v>
      </c>
      <c r="S25">
        <v>60.062756304480303</v>
      </c>
      <c r="T25">
        <v>66.652546810433606</v>
      </c>
      <c r="U25">
        <v>125.8792077401598</v>
      </c>
      <c r="V25">
        <v>91.708854737688966</v>
      </c>
      <c r="W25">
        <v>126.09420975045199</v>
      </c>
      <c r="X25">
        <v>65.280866802898117</v>
      </c>
      <c r="Y25">
        <v>58.155864765955762</v>
      </c>
    </row>
    <row r="26" spans="1:25" x14ac:dyDescent="0.35">
      <c r="A26" s="1" t="s">
        <v>46</v>
      </c>
      <c r="B26">
        <v>256.02294149284978</v>
      </c>
      <c r="C26">
        <v>0</v>
      </c>
      <c r="D26">
        <v>0</v>
      </c>
      <c r="E26">
        <v>255.21946990163099</v>
      </c>
      <c r="F26">
        <v>280.1651455710807</v>
      </c>
      <c r="G26">
        <v>288.14090612727568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72.033574303017616</v>
      </c>
      <c r="T26">
        <v>94.410997990082379</v>
      </c>
      <c r="U26">
        <v>124.59867823982751</v>
      </c>
      <c r="V26">
        <v>201.0413582995042</v>
      </c>
      <c r="W26">
        <v>0</v>
      </c>
      <c r="X26">
        <v>243.0202005078383</v>
      </c>
      <c r="Y26">
        <v>55.261481801475071</v>
      </c>
    </row>
    <row r="27" spans="1:25" x14ac:dyDescent="0.35">
      <c r="A27" s="1" t="s">
        <v>47</v>
      </c>
      <c r="B27">
        <v>166.53318364986731</v>
      </c>
      <c r="C27">
        <v>45.997598817685017</v>
      </c>
      <c r="D27">
        <v>20.734165394008031</v>
      </c>
      <c r="E27">
        <v>157.64508045540089</v>
      </c>
      <c r="F27">
        <v>18.35831222275316</v>
      </c>
      <c r="G27">
        <v>17.996846309157011</v>
      </c>
      <c r="H27">
        <v>0</v>
      </c>
      <c r="I27">
        <v>81.089767273659461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167.2016964895964</v>
      </c>
      <c r="T27">
        <v>199.192243412534</v>
      </c>
      <c r="U27">
        <v>99.214608918794241</v>
      </c>
      <c r="V27">
        <v>232.8005871494253</v>
      </c>
      <c r="W27">
        <v>251.69498316091961</v>
      </c>
      <c r="X27">
        <v>205.7729852034775</v>
      </c>
      <c r="Y27">
        <v>205.68269577730439</v>
      </c>
    </row>
    <row r="28" spans="1:25" x14ac:dyDescent="0.35">
      <c r="A28" s="1" t="s">
        <v>48</v>
      </c>
      <c r="B28">
        <v>53.121080011306567</v>
      </c>
      <c r="C28">
        <v>40.535920927997111</v>
      </c>
      <c r="D28">
        <v>21.90457284758163</v>
      </c>
      <c r="E28">
        <v>19.723062475938448</v>
      </c>
      <c r="F28">
        <v>18.710147852300519</v>
      </c>
      <c r="G28">
        <v>41.077806967640853</v>
      </c>
      <c r="H28">
        <v>33.717888415508313</v>
      </c>
      <c r="I28">
        <v>22.65669744408936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41.487596651577078</v>
      </c>
      <c r="S28">
        <v>93.780644719988615</v>
      </c>
      <c r="T28">
        <v>100.3704352259419</v>
      </c>
      <c r="U28">
        <v>159.59709615566811</v>
      </c>
      <c r="V28">
        <v>125.42674315319729</v>
      </c>
      <c r="W28">
        <v>159.81209816596029</v>
      </c>
      <c r="X28">
        <v>98.99875521840643</v>
      </c>
      <c r="Y28">
        <v>91.873753181464068</v>
      </c>
    </row>
    <row r="29" spans="1:25" x14ac:dyDescent="0.35">
      <c r="A29" s="1" t="s">
        <v>49</v>
      </c>
      <c r="B29">
        <v>0</v>
      </c>
      <c r="C29">
        <v>0</v>
      </c>
      <c r="D29">
        <v>194.53138784732681</v>
      </c>
      <c r="E29">
        <v>221.77871629890561</v>
      </c>
      <c r="F29">
        <v>8.1830973515903711</v>
      </c>
      <c r="G29">
        <v>254.7001525245503</v>
      </c>
      <c r="H29">
        <v>174.70504901396851</v>
      </c>
      <c r="I29">
        <v>32.939710044843693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38.592820700292187</v>
      </c>
      <c r="T29">
        <v>60.970244387356964</v>
      </c>
      <c r="U29">
        <v>91.157924637102056</v>
      </c>
      <c r="V29">
        <v>167.60060469677879</v>
      </c>
      <c r="W29">
        <v>189.08931494405689</v>
      </c>
      <c r="X29">
        <v>209.57944690511289</v>
      </c>
      <c r="Y29">
        <v>226.08628488269741</v>
      </c>
    </row>
    <row r="30" spans="1:25" x14ac:dyDescent="0.35">
      <c r="A30" s="1" t="s">
        <v>50</v>
      </c>
      <c r="B30">
        <v>166.53318364986731</v>
      </c>
      <c r="C30">
        <v>172.70849898831571</v>
      </c>
      <c r="D30">
        <v>0</v>
      </c>
      <c r="E30">
        <v>157.64508045540089</v>
      </c>
      <c r="F30">
        <v>145.06921239338391</v>
      </c>
      <c r="G30">
        <v>0</v>
      </c>
      <c r="H30">
        <v>109.90528907697831</v>
      </c>
      <c r="I30">
        <v>81.089767273659461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36.198026150603098</v>
      </c>
      <c r="T30">
        <v>39.040589639177902</v>
      </c>
      <c r="U30">
        <v>65.773855316068818</v>
      </c>
      <c r="V30">
        <v>232.8005871494253</v>
      </c>
      <c r="W30">
        <v>251.69498316091961</v>
      </c>
      <c r="X30">
        <v>205.7729852034775</v>
      </c>
      <c r="Y30">
        <v>205.68269577730439</v>
      </c>
    </row>
    <row r="31" spans="1:25" x14ac:dyDescent="0.35">
      <c r="A31" s="1" t="s">
        <v>51</v>
      </c>
      <c r="B31">
        <v>19.680326408581148</v>
      </c>
      <c r="C31">
        <v>7.0951673252716887</v>
      </c>
      <c r="D31">
        <v>0</v>
      </c>
      <c r="E31">
        <v>0</v>
      </c>
      <c r="F31">
        <v>0</v>
      </c>
      <c r="G31">
        <v>7.6370533649154364</v>
      </c>
      <c r="H31">
        <v>0.27713481278287788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8.0468430488516542</v>
      </c>
      <c r="S31">
        <v>60.339891117263193</v>
      </c>
      <c r="T31">
        <v>66.929681623216496</v>
      </c>
      <c r="U31">
        <v>126.1563425529427</v>
      </c>
      <c r="V31">
        <v>91.985989550471857</v>
      </c>
      <c r="W31">
        <v>126.3713445632349</v>
      </c>
      <c r="X31">
        <v>65.558001615681007</v>
      </c>
      <c r="Y31">
        <v>58.432999578738652</v>
      </c>
    </row>
    <row r="32" spans="1:25" x14ac:dyDescent="0.35">
      <c r="A32" s="1" t="s">
        <v>52</v>
      </c>
      <c r="B32">
        <v>176.83509637017019</v>
      </c>
      <c r="C32">
        <v>159.3741464776972</v>
      </c>
      <c r="D32">
        <v>148.7842963273726</v>
      </c>
      <c r="E32">
        <v>176.03162477895151</v>
      </c>
      <c r="F32">
        <v>200.97730044840111</v>
      </c>
      <c r="G32">
        <v>208.95306100459609</v>
      </c>
      <c r="H32">
        <v>128.95795749401429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15.22315286740278</v>
      </c>
      <c r="U32">
        <v>45.410833117147881</v>
      </c>
      <c r="V32">
        <v>121.85351317682461</v>
      </c>
      <c r="W32">
        <v>143.34222342410271</v>
      </c>
      <c r="X32">
        <v>163.83235538515871</v>
      </c>
      <c r="Y32">
        <v>180.33919336274329</v>
      </c>
    </row>
    <row r="33" spans="1:25" x14ac:dyDescent="0.35">
      <c r="A33" s="1" t="s">
        <v>53</v>
      </c>
      <c r="B33">
        <v>166.53318364986731</v>
      </c>
      <c r="C33">
        <v>0</v>
      </c>
      <c r="D33">
        <v>147.44506556463881</v>
      </c>
      <c r="E33">
        <v>0</v>
      </c>
      <c r="F33">
        <v>145.06921239338391</v>
      </c>
      <c r="G33">
        <v>0</v>
      </c>
      <c r="H33">
        <v>109.90528907697831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11.883546679565701</v>
      </c>
      <c r="S33">
        <v>167.2016964895964</v>
      </c>
      <c r="T33">
        <v>0</v>
      </c>
      <c r="U33">
        <v>225.92550908942499</v>
      </c>
      <c r="V33">
        <v>232.8005871494253</v>
      </c>
      <c r="W33">
        <v>251.69498316091961</v>
      </c>
      <c r="X33">
        <v>205.7729852034775</v>
      </c>
      <c r="Y33">
        <v>205.68269577730439</v>
      </c>
    </row>
    <row r="34" spans="1:25" x14ac:dyDescent="0.3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14.592799597309011</v>
      </c>
      <c r="T34">
        <v>21.18259010326231</v>
      </c>
      <c r="U34">
        <v>80.409251032988536</v>
      </c>
      <c r="V34">
        <v>46.238898030517667</v>
      </c>
      <c r="W34">
        <v>80.624253043280675</v>
      </c>
      <c r="X34">
        <v>19.810910095726829</v>
      </c>
      <c r="Y34">
        <v>12.685908058784459</v>
      </c>
    </row>
    <row r="35" spans="1:25" x14ac:dyDescent="0.35">
      <c r="A35" s="1" t="s">
        <v>55</v>
      </c>
      <c r="B35">
        <v>176.83509637017011</v>
      </c>
      <c r="C35">
        <v>159.37414647769711</v>
      </c>
      <c r="D35">
        <v>148.78429632737249</v>
      </c>
      <c r="E35">
        <v>176.03162477895131</v>
      </c>
      <c r="F35">
        <v>200.977300448401</v>
      </c>
      <c r="G35">
        <v>208.95306100459601</v>
      </c>
      <c r="H35">
        <v>128.95795749401421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15.223152867402661</v>
      </c>
      <c r="U35">
        <v>45.410833117147767</v>
      </c>
      <c r="V35">
        <v>121.85351317682451</v>
      </c>
      <c r="W35">
        <v>143.3422234241026</v>
      </c>
      <c r="X35">
        <v>163.83235538515859</v>
      </c>
      <c r="Y35">
        <v>180.33919336274309</v>
      </c>
    </row>
    <row r="36" spans="1:25" x14ac:dyDescent="0.35">
      <c r="A36" s="1" t="s">
        <v>56</v>
      </c>
      <c r="B36">
        <v>166.53318364986731</v>
      </c>
      <c r="C36">
        <v>0</v>
      </c>
      <c r="D36">
        <v>147.44506556463881</v>
      </c>
      <c r="E36">
        <v>0</v>
      </c>
      <c r="F36">
        <v>145.06921239338391</v>
      </c>
      <c r="G36">
        <v>0</v>
      </c>
      <c r="H36">
        <v>0</v>
      </c>
      <c r="I36">
        <v>36.610872829213839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85.177962927329929</v>
      </c>
      <c r="S36">
        <v>167.2016964895964</v>
      </c>
      <c r="T36">
        <v>0</v>
      </c>
      <c r="U36">
        <v>225.92550908942499</v>
      </c>
      <c r="V36">
        <v>232.8005871494253</v>
      </c>
      <c r="W36">
        <v>251.69498316091961</v>
      </c>
      <c r="X36">
        <v>205.7729852034775</v>
      </c>
      <c r="Y36">
        <v>205.68269577730439</v>
      </c>
    </row>
    <row r="37" spans="1:25" x14ac:dyDescent="0.3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14.59279959730889</v>
      </c>
      <c r="T37">
        <v>21.1825901032622</v>
      </c>
      <c r="U37">
        <v>80.409251032988422</v>
      </c>
      <c r="V37">
        <v>46.238898030517561</v>
      </c>
      <c r="W37">
        <v>80.624253043280561</v>
      </c>
      <c r="X37">
        <v>19.810910095726712</v>
      </c>
      <c r="Y37">
        <v>12.685908058784349</v>
      </c>
    </row>
    <row r="38" spans="1:25" x14ac:dyDescent="0.35">
      <c r="A38" s="1" t="s">
        <v>58</v>
      </c>
      <c r="B38">
        <v>176.83509637017011</v>
      </c>
      <c r="C38">
        <v>159.37414647769711</v>
      </c>
      <c r="D38">
        <v>148.78429632737249</v>
      </c>
      <c r="E38">
        <v>176.03162477895131</v>
      </c>
      <c r="F38">
        <v>200.977300448401</v>
      </c>
      <c r="G38">
        <v>208.95306100459629</v>
      </c>
      <c r="H38">
        <v>128.95795749401421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15.223152867402669</v>
      </c>
      <c r="U38">
        <v>45.410833117147767</v>
      </c>
      <c r="V38">
        <v>121.85351317682451</v>
      </c>
      <c r="W38">
        <v>143.3422234241026</v>
      </c>
      <c r="X38">
        <v>163.83235538515859</v>
      </c>
      <c r="Y38">
        <v>180.33919336274309</v>
      </c>
    </row>
    <row r="39" spans="1:25" x14ac:dyDescent="0.35">
      <c r="A39" s="1" t="s">
        <v>59</v>
      </c>
      <c r="B39">
        <v>0</v>
      </c>
      <c r="C39">
        <v>172.70849898831571</v>
      </c>
      <c r="D39">
        <v>147.44506556463881</v>
      </c>
      <c r="E39">
        <v>157.64508045540089</v>
      </c>
      <c r="F39">
        <v>145.06921239338391</v>
      </c>
      <c r="G39">
        <v>137.10224769165291</v>
      </c>
      <c r="H39">
        <v>109.90528907697831</v>
      </c>
      <c r="I39">
        <v>81.089767273659461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85.177962927329929</v>
      </c>
      <c r="S39">
        <v>0</v>
      </c>
      <c r="T39">
        <v>0</v>
      </c>
      <c r="U39">
        <v>225.92550908942499</v>
      </c>
      <c r="V39">
        <v>26.901841856114832</v>
      </c>
      <c r="W39">
        <v>251.69498316091961</v>
      </c>
      <c r="X39">
        <v>123.5665999794581</v>
      </c>
      <c r="Y39">
        <v>205.68269577730439</v>
      </c>
    </row>
    <row r="40" spans="1:25" x14ac:dyDescent="0.3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14.59279959730889</v>
      </c>
      <c r="T40">
        <v>21.1825901032622</v>
      </c>
      <c r="U40">
        <v>80.409251032988422</v>
      </c>
      <c r="V40">
        <v>46.238898030517561</v>
      </c>
      <c r="W40">
        <v>80.624253043280561</v>
      </c>
      <c r="X40">
        <v>19.810910095726712</v>
      </c>
      <c r="Y40">
        <v>12.685908058784349</v>
      </c>
    </row>
    <row r="41" spans="1:25" x14ac:dyDescent="0.35">
      <c r="A41" s="1" t="s">
        <v>61</v>
      </c>
      <c r="B41">
        <v>269.8281081252926</v>
      </c>
      <c r="C41">
        <v>252.36715823281949</v>
      </c>
      <c r="D41">
        <v>0</v>
      </c>
      <c r="E41">
        <v>0</v>
      </c>
      <c r="F41">
        <v>0</v>
      </c>
      <c r="G41">
        <v>13.96551458977326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8.6375763287248652</v>
      </c>
      <c r="S41">
        <v>0</v>
      </c>
      <c r="T41">
        <v>108.2161646225251</v>
      </c>
      <c r="U41">
        <v>0</v>
      </c>
      <c r="V41">
        <v>0</v>
      </c>
      <c r="W41">
        <v>236.33523517922501</v>
      </c>
      <c r="X41">
        <v>256.82536714028112</v>
      </c>
      <c r="Y41">
        <v>273.33220511786561</v>
      </c>
    </row>
    <row r="42" spans="1:25" x14ac:dyDescent="0.35">
      <c r="A42" s="1" t="s">
        <v>62</v>
      </c>
      <c r="B42">
        <v>53.627450111679337</v>
      </c>
      <c r="C42">
        <v>172.70849898831571</v>
      </c>
      <c r="D42">
        <v>34.539332026450751</v>
      </c>
      <c r="E42">
        <v>157.64508045540089</v>
      </c>
      <c r="F42">
        <v>32.163478855195883</v>
      </c>
      <c r="G42">
        <v>24.196514153464889</v>
      </c>
      <c r="H42">
        <v>0</v>
      </c>
      <c r="I42">
        <v>81.089767273659461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52.700908418785957</v>
      </c>
      <c r="S42">
        <v>54.295962951408413</v>
      </c>
      <c r="T42">
        <v>86.286509874346038</v>
      </c>
      <c r="U42">
        <v>225.92550908942499</v>
      </c>
      <c r="V42">
        <v>119.89485361123729</v>
      </c>
      <c r="W42">
        <v>138.7892496227316</v>
      </c>
      <c r="X42">
        <v>92.867251665289473</v>
      </c>
      <c r="Y42">
        <v>92.776962239116358</v>
      </c>
    </row>
    <row r="43" spans="1:25" x14ac:dyDescent="0.35">
      <c r="A43" s="1" t="s">
        <v>63</v>
      </c>
      <c r="B43">
        <v>66.926246643749295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21.128809991434739</v>
      </c>
      <c r="S43">
        <v>107.58581135243131</v>
      </c>
      <c r="T43">
        <v>114.1756018583846</v>
      </c>
      <c r="U43">
        <v>173.40226278811079</v>
      </c>
      <c r="V43">
        <v>139.23190978564</v>
      </c>
      <c r="W43">
        <v>173.617264798403</v>
      </c>
      <c r="X43">
        <v>112.80392185084921</v>
      </c>
      <c r="Y43">
        <v>105.6789198139068</v>
      </c>
    </row>
    <row r="44" spans="1:25" x14ac:dyDescent="0.35">
      <c r="A44" s="1" t="s">
        <v>64</v>
      </c>
      <c r="B44">
        <v>303.26886172801801</v>
      </c>
      <c r="C44">
        <v>285.80791183554493</v>
      </c>
      <c r="D44">
        <v>275.21806168522039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76.59493689213727</v>
      </c>
      <c r="T44">
        <v>0</v>
      </c>
      <c r="U44">
        <v>171.84459847499559</v>
      </c>
      <c r="V44">
        <v>0</v>
      </c>
      <c r="W44">
        <v>0</v>
      </c>
      <c r="X44">
        <v>0</v>
      </c>
      <c r="Y44">
        <v>306.77295872059102</v>
      </c>
    </row>
    <row r="45" spans="1:25" x14ac:dyDescent="0.35">
      <c r="A45" s="1" t="s">
        <v>65</v>
      </c>
      <c r="B45">
        <v>87.068203714404746</v>
      </c>
      <c r="C45">
        <v>93.243519052853145</v>
      </c>
      <c r="D45">
        <v>67.980085629176159</v>
      </c>
      <c r="E45">
        <v>78.18010051993835</v>
      </c>
      <c r="F45">
        <v>65.604232457921285</v>
      </c>
      <c r="G45">
        <v>57.637267756190312</v>
      </c>
      <c r="H45">
        <v>30.440309141515669</v>
      </c>
      <c r="I45">
        <v>1.6247873381968669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5.7129829918669994</v>
      </c>
      <c r="S45">
        <v>87.736716554133835</v>
      </c>
      <c r="T45">
        <v>119.7272634770714</v>
      </c>
      <c r="U45">
        <v>146.46052915396211</v>
      </c>
      <c r="V45">
        <v>153.3356072139627</v>
      </c>
      <c r="W45">
        <v>172.23000322545701</v>
      </c>
      <c r="X45">
        <v>126.3080052680149</v>
      </c>
      <c r="Y45">
        <v>126.21771584184179</v>
      </c>
    </row>
    <row r="46" spans="1:25" x14ac:dyDescent="0.3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69.902617679257617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17.350839695702131</v>
      </c>
      <c r="U46">
        <v>0</v>
      </c>
      <c r="V46">
        <v>172.67266338836541</v>
      </c>
      <c r="W46">
        <v>207.05801840112841</v>
      </c>
      <c r="X46">
        <v>146.24467545357459</v>
      </c>
      <c r="Y46">
        <v>139.1196734166322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467.06798685420898</v>
      </c>
      <c r="C2">
        <v>467.06798685420898</v>
      </c>
      <c r="D2">
        <v>467.06798685420898</v>
      </c>
      <c r="E2">
        <v>223.61921021010889</v>
      </c>
      <c r="F2">
        <v>34.738453731561258</v>
      </c>
      <c r="G2">
        <v>19.281143110212721</v>
      </c>
      <c r="H2">
        <v>19.281143110212721</v>
      </c>
      <c r="I2">
        <v>19.281143110212721</v>
      </c>
      <c r="J2">
        <v>19.281143110212721</v>
      </c>
      <c r="K2">
        <v>122.29614902113509</v>
      </c>
      <c r="L2">
        <v>302.37200060579369</v>
      </c>
      <c r="M2">
        <v>519.34762786869783</v>
      </c>
      <c r="N2">
        <v>725.2021500759372</v>
      </c>
      <c r="O2">
        <v>874.39710021858525</v>
      </c>
      <c r="P2">
        <v>964.05715551063622</v>
      </c>
      <c r="Q2">
        <v>953.96554014240917</v>
      </c>
      <c r="R2">
        <v>953.96554014240917</v>
      </c>
      <c r="S2">
        <v>953.96554014240917</v>
      </c>
      <c r="T2">
        <v>953.96554014240917</v>
      </c>
      <c r="U2">
        <v>953.96554014240917</v>
      </c>
      <c r="V2">
        <v>953.96554014240917</v>
      </c>
      <c r="W2">
        <v>710.51676349830905</v>
      </c>
      <c r="X2">
        <v>467.06798685420898</v>
      </c>
      <c r="Y2">
        <v>467.06798685420898</v>
      </c>
    </row>
    <row r="3" spans="1:25" x14ac:dyDescent="0.35">
      <c r="A3" s="1" t="s">
        <v>23</v>
      </c>
      <c r="B3">
        <v>19.281143110212721</v>
      </c>
      <c r="C3">
        <v>19.281143110212721</v>
      </c>
      <c r="D3">
        <v>19.281143110212721</v>
      </c>
      <c r="E3">
        <v>19.281143110212721</v>
      </c>
      <c r="F3">
        <v>19.281143110212721</v>
      </c>
      <c r="G3">
        <v>19.281143110212721</v>
      </c>
      <c r="H3">
        <v>19.281143110212721</v>
      </c>
      <c r="I3">
        <v>19.281143110212721</v>
      </c>
      <c r="J3">
        <v>19.281143110212721</v>
      </c>
      <c r="K3">
        <v>144.63870316805011</v>
      </c>
      <c r="L3">
        <v>144.63870316805011</v>
      </c>
      <c r="M3">
        <v>383.24284915693261</v>
      </c>
      <c r="N3">
        <v>621.84699514581507</v>
      </c>
      <c r="O3">
        <v>860.45114113469754</v>
      </c>
      <c r="P3">
        <v>894.66259699730688</v>
      </c>
      <c r="Q3">
        <v>964.05715551063622</v>
      </c>
      <c r="R3">
        <v>862.88762606352191</v>
      </c>
      <c r="S3">
        <v>689.47028151419079</v>
      </c>
      <c r="T3">
        <v>487.28368687295682</v>
      </c>
      <c r="U3">
        <v>259.06006860934588</v>
      </c>
      <c r="V3">
        <v>23.90796037760316</v>
      </c>
      <c r="W3">
        <v>19.281143110212721</v>
      </c>
      <c r="X3">
        <v>19.281143110212721</v>
      </c>
      <c r="Y3">
        <v>19.281143110212721</v>
      </c>
    </row>
    <row r="4" spans="1:25" x14ac:dyDescent="0.35">
      <c r="A4" s="1" t="s">
        <v>24</v>
      </c>
      <c r="B4">
        <v>19.281143110212721</v>
      </c>
      <c r="C4">
        <v>19.281143110212721</v>
      </c>
      <c r="D4">
        <v>19.281143110212721</v>
      </c>
      <c r="E4">
        <v>19.281143110212721</v>
      </c>
      <c r="F4">
        <v>19.281143110212721</v>
      </c>
      <c r="G4">
        <v>19.281143110212721</v>
      </c>
      <c r="H4">
        <v>19.281143110212721</v>
      </c>
      <c r="I4">
        <v>19.281143110212721</v>
      </c>
      <c r="J4">
        <v>19.281143110212721</v>
      </c>
      <c r="K4">
        <v>19.281143110212721</v>
      </c>
      <c r="L4">
        <v>46.595268117925698</v>
      </c>
      <c r="M4">
        <v>85.783306310147879</v>
      </c>
      <c r="N4">
        <v>129.4741569655842</v>
      </c>
      <c r="O4">
        <v>153.81343360048351</v>
      </c>
      <c r="P4">
        <v>153.81343360048351</v>
      </c>
      <c r="Q4">
        <v>153.81343360048351</v>
      </c>
      <c r="R4">
        <v>153.81343360048351</v>
      </c>
      <c r="S4">
        <v>153.81343360048351</v>
      </c>
      <c r="T4">
        <v>153.81343360048351</v>
      </c>
      <c r="U4">
        <v>153.81343360048351</v>
      </c>
      <c r="V4">
        <v>153.81343360048351</v>
      </c>
      <c r="W4">
        <v>19.281143110212721</v>
      </c>
      <c r="X4">
        <v>19.281143110212721</v>
      </c>
      <c r="Y4">
        <v>19.281143110212721</v>
      </c>
    </row>
    <row r="5" spans="1:25" x14ac:dyDescent="0.35">
      <c r="A5" s="1" t="s">
        <v>25</v>
      </c>
      <c r="B5">
        <v>506.17869639841291</v>
      </c>
      <c r="C5">
        <v>506.17869639841291</v>
      </c>
      <c r="D5">
        <v>506.17869639841291</v>
      </c>
      <c r="E5">
        <v>506.17869639841291</v>
      </c>
      <c r="F5">
        <v>262.72991975431279</v>
      </c>
      <c r="G5">
        <v>19.281143110212721</v>
      </c>
      <c r="H5">
        <v>19.281143110212721</v>
      </c>
      <c r="I5">
        <v>19.281143110212721</v>
      </c>
      <c r="J5">
        <v>19.281143110212721</v>
      </c>
      <c r="K5">
        <v>122.29614902113509</v>
      </c>
      <c r="L5">
        <v>302.37200060579369</v>
      </c>
      <c r="M5">
        <v>519.34762786869783</v>
      </c>
      <c r="N5">
        <v>725.2021500759372</v>
      </c>
      <c r="O5">
        <v>874.39710021858525</v>
      </c>
      <c r="P5">
        <v>964.05715551063622</v>
      </c>
      <c r="Q5">
        <v>964.05715551063622</v>
      </c>
      <c r="R5">
        <v>964.05715551063622</v>
      </c>
      <c r="S5">
        <v>964.05715551063622</v>
      </c>
      <c r="T5">
        <v>964.05715551063622</v>
      </c>
      <c r="U5">
        <v>964.05715551063622</v>
      </c>
      <c r="V5">
        <v>720.60837886653621</v>
      </c>
      <c r="W5">
        <v>720.60837886653621</v>
      </c>
      <c r="X5">
        <v>506.17869639841291</v>
      </c>
      <c r="Y5">
        <v>506.17869639841291</v>
      </c>
    </row>
    <row r="6" spans="1:25" x14ac:dyDescent="0.35">
      <c r="A6" s="1" t="s">
        <v>26</v>
      </c>
      <c r="B6">
        <v>419.97521906682522</v>
      </c>
      <c r="C6">
        <v>245.5221897856982</v>
      </c>
      <c r="D6">
        <v>245.5221897856982</v>
      </c>
      <c r="E6">
        <v>245.5221897856982</v>
      </c>
      <c r="F6">
        <v>98.987631812583174</v>
      </c>
      <c r="G6">
        <v>98.987631812583174</v>
      </c>
      <c r="H6">
        <v>20.035275762998442</v>
      </c>
      <c r="I6">
        <v>20.035275762998442</v>
      </c>
      <c r="J6">
        <v>19.281143110212721</v>
      </c>
      <c r="K6">
        <v>144.63870316805011</v>
      </c>
      <c r="L6">
        <v>374.60180903639929</v>
      </c>
      <c r="M6">
        <v>473.4149733950735</v>
      </c>
      <c r="N6">
        <v>473.4149733950735</v>
      </c>
      <c r="O6">
        <v>712.01911938395597</v>
      </c>
      <c r="P6">
        <v>894.66259699730688</v>
      </c>
      <c r="Q6">
        <v>964.05715551063622</v>
      </c>
      <c r="R6">
        <v>862.88762606352191</v>
      </c>
      <c r="S6">
        <v>862.88762606352191</v>
      </c>
      <c r="T6">
        <v>862.88762606352191</v>
      </c>
      <c r="U6">
        <v>862.88762606352191</v>
      </c>
      <c r="V6">
        <v>627.73551783177913</v>
      </c>
      <c r="W6">
        <v>627.73551783177913</v>
      </c>
      <c r="X6">
        <v>627.73551783177913</v>
      </c>
      <c r="Y6">
        <v>419.97521906682522</v>
      </c>
    </row>
    <row r="7" spans="1:25" x14ac:dyDescent="0.35">
      <c r="A7" s="1" t="s">
        <v>27</v>
      </c>
      <c r="B7">
        <v>41.775579297973181</v>
      </c>
      <c r="C7">
        <v>41.775579297973181</v>
      </c>
      <c r="D7">
        <v>41.775579297973181</v>
      </c>
      <c r="E7">
        <v>41.775579297973181</v>
      </c>
      <c r="F7">
        <v>41.775579297973181</v>
      </c>
      <c r="G7">
        <v>41.775579297973181</v>
      </c>
      <c r="H7">
        <v>41.775579297973181</v>
      </c>
      <c r="I7">
        <v>41.775579297973181</v>
      </c>
      <c r="J7">
        <v>41.775579297973181</v>
      </c>
      <c r="K7">
        <v>19.281143110212721</v>
      </c>
      <c r="L7">
        <v>46.595268117925698</v>
      </c>
      <c r="M7">
        <v>85.783306310147879</v>
      </c>
      <c r="N7">
        <v>129.4741569655842</v>
      </c>
      <c r="O7">
        <v>153.81343360048351</v>
      </c>
      <c r="P7">
        <v>151.06450356502239</v>
      </c>
      <c r="Q7">
        <v>151.06450356502239</v>
      </c>
      <c r="R7">
        <v>151.06450356502239</v>
      </c>
      <c r="S7">
        <v>151.06450356502239</v>
      </c>
      <c r="T7">
        <v>151.06450356502239</v>
      </c>
      <c r="U7">
        <v>151.06450356502239</v>
      </c>
      <c r="V7">
        <v>151.06450356502239</v>
      </c>
      <c r="W7">
        <v>41.775579297973181</v>
      </c>
      <c r="X7">
        <v>41.775579297973181</v>
      </c>
      <c r="Y7">
        <v>41.775579297973181</v>
      </c>
    </row>
    <row r="8" spans="1:25" x14ac:dyDescent="0.35">
      <c r="A8" s="1" t="s">
        <v>28</v>
      </c>
      <c r="B8">
        <v>953.96554014240917</v>
      </c>
      <c r="C8">
        <v>953.96554014240917</v>
      </c>
      <c r="D8">
        <v>953.96554014240917</v>
      </c>
      <c r="E8">
        <v>761.69746228959616</v>
      </c>
      <c r="F8">
        <v>518.24868564549615</v>
      </c>
      <c r="G8">
        <v>274.79990900139609</v>
      </c>
      <c r="H8">
        <v>31.35113235729608</v>
      </c>
      <c r="I8">
        <v>31.35113235729608</v>
      </c>
      <c r="J8">
        <v>19.281143110212721</v>
      </c>
      <c r="K8">
        <v>122.29614902113509</v>
      </c>
      <c r="L8">
        <v>302.37200060579369</v>
      </c>
      <c r="M8">
        <v>519.34762786869783</v>
      </c>
      <c r="N8">
        <v>725.2021500759372</v>
      </c>
      <c r="O8">
        <v>874.39710021858525</v>
      </c>
      <c r="P8">
        <v>964.05715551063622</v>
      </c>
      <c r="Q8">
        <v>953.96554014240917</v>
      </c>
      <c r="R8">
        <v>953.96554014240917</v>
      </c>
      <c r="S8">
        <v>953.96554014240917</v>
      </c>
      <c r="T8">
        <v>953.96554014240917</v>
      </c>
      <c r="U8">
        <v>953.96554014240917</v>
      </c>
      <c r="V8">
        <v>953.96554014240917</v>
      </c>
      <c r="W8">
        <v>953.96554014240917</v>
      </c>
      <c r="X8">
        <v>953.96554014240917</v>
      </c>
      <c r="Y8">
        <v>953.96554014240917</v>
      </c>
    </row>
    <row r="9" spans="1:25" x14ac:dyDescent="0.35">
      <c r="A9" s="1" t="s">
        <v>29</v>
      </c>
      <c r="B9">
        <v>19.281143110212721</v>
      </c>
      <c r="C9">
        <v>19.281143110212721</v>
      </c>
      <c r="D9">
        <v>19.281143110212721</v>
      </c>
      <c r="E9">
        <v>19.281143110212721</v>
      </c>
      <c r="F9">
        <v>19.281143110212721</v>
      </c>
      <c r="G9">
        <v>19.281143110212721</v>
      </c>
      <c r="H9">
        <v>19.281143110212721</v>
      </c>
      <c r="I9">
        <v>19.281143110212721</v>
      </c>
      <c r="J9">
        <v>19.281143110212721</v>
      </c>
      <c r="K9">
        <v>19.281143110212721</v>
      </c>
      <c r="L9">
        <v>19.281143110212721</v>
      </c>
      <c r="M9">
        <v>234.81082740619101</v>
      </c>
      <c r="N9">
        <v>473.4149733950735</v>
      </c>
      <c r="O9">
        <v>712.01911938395597</v>
      </c>
      <c r="P9">
        <v>894.66259699730688</v>
      </c>
      <c r="Q9">
        <v>964.05715551063622</v>
      </c>
      <c r="R9">
        <v>862.88762606352191</v>
      </c>
      <c r="S9">
        <v>862.88762606352191</v>
      </c>
      <c r="T9">
        <v>862.88762606352191</v>
      </c>
      <c r="U9">
        <v>634.66400779991091</v>
      </c>
      <c r="V9">
        <v>399.51189956816819</v>
      </c>
      <c r="W9">
        <v>399.51189956816819</v>
      </c>
      <c r="X9">
        <v>191.66039936263539</v>
      </c>
      <c r="Y9">
        <v>19.281143110212721</v>
      </c>
    </row>
    <row r="10" spans="1:25" x14ac:dyDescent="0.35">
      <c r="A10" s="1" t="s">
        <v>30</v>
      </c>
      <c r="B10">
        <v>19.281143110212721</v>
      </c>
      <c r="C10">
        <v>19.281143110212721</v>
      </c>
      <c r="D10">
        <v>19.281143110212721</v>
      </c>
      <c r="E10">
        <v>19.281143110212721</v>
      </c>
      <c r="F10">
        <v>19.281143110212721</v>
      </c>
      <c r="G10">
        <v>19.281143110212721</v>
      </c>
      <c r="H10">
        <v>19.281143110212721</v>
      </c>
      <c r="I10">
        <v>19.281143110212721</v>
      </c>
      <c r="J10">
        <v>19.281143110212721</v>
      </c>
      <c r="K10">
        <v>19.281143110212721</v>
      </c>
      <c r="L10">
        <v>46.595268117925698</v>
      </c>
      <c r="M10">
        <v>85.783306310147879</v>
      </c>
      <c r="N10">
        <v>129.4741569655842</v>
      </c>
      <c r="O10">
        <v>153.81343360048351</v>
      </c>
      <c r="P10">
        <v>151.06450356502239</v>
      </c>
      <c r="Q10">
        <v>151.06450356502239</v>
      </c>
      <c r="R10">
        <v>19.281143110212721</v>
      </c>
      <c r="S10">
        <v>19.281143110212721</v>
      </c>
      <c r="T10">
        <v>19.281143110212721</v>
      </c>
      <c r="U10">
        <v>19.281143110212721</v>
      </c>
      <c r="V10">
        <v>19.281143110212721</v>
      </c>
      <c r="W10">
        <v>19.281143110212721</v>
      </c>
      <c r="X10">
        <v>19.281143110212721</v>
      </c>
      <c r="Y10">
        <v>19.281143110212721</v>
      </c>
    </row>
    <row r="11" spans="1:25" x14ac:dyDescent="0.35">
      <c r="A11" s="1" t="s">
        <v>31</v>
      </c>
      <c r="B11">
        <v>741.27493867746557</v>
      </c>
      <c r="C11">
        <v>500.30322999021621</v>
      </c>
      <c r="D11">
        <v>500.30322999021621</v>
      </c>
      <c r="E11">
        <v>500.30322999021621</v>
      </c>
      <c r="F11">
        <v>500.30322999021621</v>
      </c>
      <c r="G11">
        <v>306.56141777541518</v>
      </c>
      <c r="H11">
        <v>96.313132304007269</v>
      </c>
      <c r="I11">
        <v>29.262158922624341</v>
      </c>
      <c r="J11">
        <v>55.321863625832293</v>
      </c>
      <c r="K11">
        <v>215.12340994206329</v>
      </c>
      <c r="L11">
        <v>465.64798630889811</v>
      </c>
      <c r="M11">
        <v>761.01139390802382</v>
      </c>
      <c r="N11">
        <v>1046.5220926892259</v>
      </c>
      <c r="O11">
        <v>1270.9341115874331</v>
      </c>
      <c r="P11">
        <v>1424.790194853965</v>
      </c>
      <c r="Q11">
        <v>1463.107946131217</v>
      </c>
      <c r="R11">
        <v>1463.107946131217</v>
      </c>
      <c r="S11">
        <v>1390.346759966553</v>
      </c>
      <c r="T11">
        <v>1294.982115532126</v>
      </c>
      <c r="U11">
        <v>1169.1248647848261</v>
      </c>
      <c r="V11">
        <v>966.05278569441737</v>
      </c>
      <c r="W11">
        <v>741.27493867746557</v>
      </c>
      <c r="X11">
        <v>741.27493867746557</v>
      </c>
      <c r="Y11">
        <v>741.27493867746557</v>
      </c>
    </row>
    <row r="12" spans="1:25" x14ac:dyDescent="0.35">
      <c r="A12" s="1" t="s">
        <v>32</v>
      </c>
      <c r="B12">
        <v>284.94549671138122</v>
      </c>
      <c r="C12">
        <v>110.49246743025419</v>
      </c>
      <c r="D12">
        <v>89.548866022165257</v>
      </c>
      <c r="E12">
        <v>58.302219269872111</v>
      </c>
      <c r="F12">
        <v>39.758469549919447</v>
      </c>
      <c r="G12">
        <v>29.262158922624341</v>
      </c>
      <c r="H12">
        <v>29.262158922624341</v>
      </c>
      <c r="I12">
        <v>29.262158922624341</v>
      </c>
      <c r="J12">
        <v>51.089760834002242</v>
      </c>
      <c r="K12">
        <v>51.089760834002242</v>
      </c>
      <c r="L12">
        <v>122.7454939807193</v>
      </c>
      <c r="M12">
        <v>484.86471064819563</v>
      </c>
      <c r="N12">
        <v>829.38536628581357</v>
      </c>
      <c r="O12">
        <v>1134.968883761692</v>
      </c>
      <c r="P12">
        <v>1363.223529577474</v>
      </c>
      <c r="Q12">
        <v>1463.107946131217</v>
      </c>
      <c r="R12">
        <v>1463.107946131217</v>
      </c>
      <c r="S12">
        <v>1422.208151869635</v>
      </c>
      <c r="T12">
        <v>1221.003865594349</v>
      </c>
      <c r="U12">
        <v>1120.787088908698</v>
      </c>
      <c r="V12">
        <v>885.63498067695514</v>
      </c>
      <c r="W12">
        <v>759.38843220191586</v>
      </c>
      <c r="X12">
        <v>551.53693199638303</v>
      </c>
      <c r="Y12">
        <v>343.77663323142912</v>
      </c>
    </row>
    <row r="13" spans="1:25" x14ac:dyDescent="0.35">
      <c r="A13" s="1" t="s">
        <v>33</v>
      </c>
      <c r="B13">
        <v>229.5915497620754</v>
      </c>
      <c r="C13">
        <v>188.6461750873309</v>
      </c>
      <c r="D13">
        <v>166.52034392815759</v>
      </c>
      <c r="E13">
        <v>146.5980585989268</v>
      </c>
      <c r="F13">
        <v>127.6989193541788</v>
      </c>
      <c r="G13">
        <v>86.206185043430168</v>
      </c>
      <c r="H13">
        <v>52.147711896452087</v>
      </c>
      <c r="I13">
        <v>29.262158922624341</v>
      </c>
      <c r="J13">
        <v>76.438001283603924</v>
      </c>
      <c r="K13">
        <v>203.1003463108336</v>
      </c>
      <c r="L13">
        <v>385.62990148794108</v>
      </c>
      <c r="M13">
        <v>581.65174988327544</v>
      </c>
      <c r="N13">
        <v>781.4300262493332</v>
      </c>
      <c r="O13">
        <v>959.51745036838929</v>
      </c>
      <c r="P13">
        <v>1106.48628176589</v>
      </c>
      <c r="Q13">
        <v>1163.3978148969341</v>
      </c>
      <c r="R13">
        <v>1121.491151612513</v>
      </c>
      <c r="S13">
        <v>1026.763227652928</v>
      </c>
      <c r="T13">
        <v>925.37894964692623</v>
      </c>
      <c r="U13">
        <v>764.16976161089838</v>
      </c>
      <c r="V13">
        <v>637.47608165817383</v>
      </c>
      <c r="W13">
        <v>476.04971987437563</v>
      </c>
      <c r="X13">
        <v>376.05097722952058</v>
      </c>
      <c r="Y13">
        <v>283.24920633915269</v>
      </c>
    </row>
    <row r="14" spans="1:25" x14ac:dyDescent="0.35">
      <c r="A14" s="1" t="s">
        <v>34</v>
      </c>
      <c r="B14">
        <v>387.36455263458879</v>
      </c>
      <c r="C14">
        <v>387.36455263458879</v>
      </c>
      <c r="D14">
        <v>387.36455263458879</v>
      </c>
      <c r="E14">
        <v>387.36455263458879</v>
      </c>
      <c r="F14">
        <v>387.36455263458879</v>
      </c>
      <c r="G14">
        <v>96.313132304007269</v>
      </c>
      <c r="H14">
        <v>96.313132304007269</v>
      </c>
      <c r="I14">
        <v>29.262158922624341</v>
      </c>
      <c r="J14">
        <v>55.3218636258323</v>
      </c>
      <c r="K14">
        <v>215.12340994206329</v>
      </c>
      <c r="L14">
        <v>465.647986308898</v>
      </c>
      <c r="M14">
        <v>761.01139390802382</v>
      </c>
      <c r="N14">
        <v>1046.5220926892259</v>
      </c>
      <c r="O14">
        <v>1270.9341115874331</v>
      </c>
      <c r="P14">
        <v>1424.790194853965</v>
      </c>
      <c r="Q14">
        <v>1463.107946131217</v>
      </c>
      <c r="R14">
        <v>1463.107946131217</v>
      </c>
      <c r="S14">
        <v>1463.107946131217</v>
      </c>
      <c r="T14">
        <v>1463.107946131217</v>
      </c>
      <c r="U14">
        <v>1337.250695383917</v>
      </c>
      <c r="V14">
        <v>1337.250695383917</v>
      </c>
      <c r="W14">
        <v>1112.4728483669651</v>
      </c>
      <c r="X14">
        <v>866.9978983590471</v>
      </c>
      <c r="Y14">
        <v>645.97358444554823</v>
      </c>
    </row>
    <row r="15" spans="1:25" x14ac:dyDescent="0.35">
      <c r="A15" s="1" t="s">
        <v>35</v>
      </c>
      <c r="B15">
        <v>284.94549671138122</v>
      </c>
      <c r="C15">
        <v>238.48327568341651</v>
      </c>
      <c r="D15">
        <v>89.548866022165257</v>
      </c>
      <c r="E15">
        <v>58.302219269872111</v>
      </c>
      <c r="F15">
        <v>39.758469549919447</v>
      </c>
      <c r="G15">
        <v>29.262158922624341</v>
      </c>
      <c r="H15">
        <v>29.262158922624341</v>
      </c>
      <c r="I15">
        <v>29.262158922624341</v>
      </c>
      <c r="J15">
        <v>51.089760834002242</v>
      </c>
      <c r="K15">
        <v>176.44732089183961</v>
      </c>
      <c r="L15">
        <v>406.41042676018878</v>
      </c>
      <c r="M15">
        <v>726.74574628989058</v>
      </c>
      <c r="N15">
        <v>1071.266401927508</v>
      </c>
      <c r="O15">
        <v>1211.069910004537</v>
      </c>
      <c r="P15">
        <v>1393.713387617888</v>
      </c>
      <c r="Q15">
        <v>1463.107946131217</v>
      </c>
      <c r="R15">
        <v>1377.069599739975</v>
      </c>
      <c r="S15">
        <v>1336.1698054783931</v>
      </c>
      <c r="T15">
        <v>1262.956327456269</v>
      </c>
      <c r="U15">
        <v>1162.7395507706181</v>
      </c>
      <c r="V15">
        <v>927.58744253887517</v>
      </c>
      <c r="W15">
        <v>740.78182444877359</v>
      </c>
      <c r="X15">
        <v>532.93032424324076</v>
      </c>
      <c r="Y15">
        <v>453.1608337314492</v>
      </c>
    </row>
    <row r="16" spans="1:25" x14ac:dyDescent="0.35">
      <c r="A16" s="1" t="s">
        <v>36</v>
      </c>
      <c r="B16">
        <v>229.59154976207509</v>
      </c>
      <c r="C16">
        <v>188.64617508733059</v>
      </c>
      <c r="D16">
        <v>166.52034392815719</v>
      </c>
      <c r="E16">
        <v>146.59805859892651</v>
      </c>
      <c r="F16">
        <v>127.6989193541785</v>
      </c>
      <c r="G16">
        <v>86.206185043430168</v>
      </c>
      <c r="H16">
        <v>52.147711896452101</v>
      </c>
      <c r="I16">
        <v>29.262158922624341</v>
      </c>
      <c r="J16">
        <v>76.43800128360391</v>
      </c>
      <c r="K16">
        <v>203.1003463108336</v>
      </c>
      <c r="L16">
        <v>385.62990148794108</v>
      </c>
      <c r="M16">
        <v>581.65174988327544</v>
      </c>
      <c r="N16">
        <v>781.4300262493332</v>
      </c>
      <c r="O16">
        <v>959.51745036838918</v>
      </c>
      <c r="P16">
        <v>1106.48628176589</v>
      </c>
      <c r="Q16">
        <v>1163.3978148969341</v>
      </c>
      <c r="R16">
        <v>1121.491151612513</v>
      </c>
      <c r="S16">
        <v>1026.763227652928</v>
      </c>
      <c r="T16">
        <v>925.37894964692634</v>
      </c>
      <c r="U16">
        <v>764.16976161089792</v>
      </c>
      <c r="V16">
        <v>637.47608165817337</v>
      </c>
      <c r="W16">
        <v>476.04971987437511</v>
      </c>
      <c r="X16">
        <v>376.05097722952007</v>
      </c>
      <c r="Y16">
        <v>283.24920633915241</v>
      </c>
    </row>
    <row r="17" spans="1:25" x14ac:dyDescent="0.35">
      <c r="A17" s="1" t="s">
        <v>37</v>
      </c>
      <c r="B17">
        <v>914.3522428865972</v>
      </c>
      <c r="C17">
        <v>707.43900734632609</v>
      </c>
      <c r="D17">
        <v>511.2225901397162</v>
      </c>
      <c r="E17">
        <v>287.48361894161252</v>
      </c>
      <c r="F17">
        <v>38.546995552145553</v>
      </c>
      <c r="G17">
        <v>38.546995552145553</v>
      </c>
      <c r="H17">
        <v>38.546995552145553</v>
      </c>
      <c r="I17">
        <v>38.546995552145553</v>
      </c>
      <c r="J17">
        <v>223.43120095563131</v>
      </c>
      <c r="K17">
        <v>383.23274727186219</v>
      </c>
      <c r="L17">
        <v>633.7573236386969</v>
      </c>
      <c r="M17">
        <v>929.12073123782261</v>
      </c>
      <c r="N17">
        <v>1214.6314300190249</v>
      </c>
      <c r="O17">
        <v>1439.0434489172319</v>
      </c>
      <c r="P17">
        <v>1691.710901697714</v>
      </c>
      <c r="Q17">
        <v>1888.8531536752439</v>
      </c>
      <c r="R17">
        <v>1927.3497776072779</v>
      </c>
      <c r="S17">
        <v>1888.647064589592</v>
      </c>
      <c r="T17">
        <v>1827.3408933021431</v>
      </c>
      <c r="U17">
        <v>1735.5421157018211</v>
      </c>
      <c r="V17">
        <v>1566.528509758391</v>
      </c>
      <c r="W17">
        <v>1375.8091358884169</v>
      </c>
      <c r="X17">
        <v>1164.392659027478</v>
      </c>
      <c r="Y17">
        <v>1138.902801550578</v>
      </c>
    </row>
    <row r="18" spans="1:25" x14ac:dyDescent="0.35">
      <c r="A18" s="1" t="s">
        <v>38</v>
      </c>
      <c r="B18">
        <v>539.34401041157685</v>
      </c>
      <c r="C18">
        <v>526.94026253059042</v>
      </c>
      <c r="D18">
        <v>378.00585286933909</v>
      </c>
      <c r="E18">
        <v>378.00585286933909</v>
      </c>
      <c r="F18">
        <v>231.47129489622409</v>
      </c>
      <c r="G18">
        <v>231.47129489622409</v>
      </c>
      <c r="H18">
        <v>120.4558513841248</v>
      </c>
      <c r="I18">
        <v>38.546995552145553</v>
      </c>
      <c r="J18">
        <v>60.374597463523457</v>
      </c>
      <c r="K18">
        <v>224.30228889415909</v>
      </c>
      <c r="L18">
        <v>506.12769624308459</v>
      </c>
      <c r="M18">
        <v>886.98387541389116</v>
      </c>
      <c r="N18">
        <v>1293.627197761876</v>
      </c>
      <c r="O18">
        <v>1599.2107152377539</v>
      </c>
      <c r="P18">
        <v>1827.4653610535361</v>
      </c>
      <c r="Q18">
        <v>1927.3497776072779</v>
      </c>
      <c r="R18">
        <v>1927.3497776072779</v>
      </c>
      <c r="S18">
        <v>1879.923201176035</v>
      </c>
      <c r="T18">
        <v>1678.7189149007479</v>
      </c>
      <c r="U18">
        <v>1450.511329961935</v>
      </c>
      <c r="V18">
        <v>1215.359221730193</v>
      </c>
      <c r="W18">
        <v>961.12186500199095</v>
      </c>
      <c r="X18">
        <v>753.27036479645813</v>
      </c>
      <c r="Y18">
        <v>545.51006603150427</v>
      </c>
    </row>
    <row r="19" spans="1:25" x14ac:dyDescent="0.35">
      <c r="A19" s="1" t="s">
        <v>39</v>
      </c>
      <c r="B19">
        <v>52.868158243682032</v>
      </c>
      <c r="C19">
        <v>45.981256715915677</v>
      </c>
      <c r="D19">
        <v>45.981256715915677</v>
      </c>
      <c r="E19">
        <v>45.981256715915677</v>
      </c>
      <c r="F19">
        <v>45.981256715915677</v>
      </c>
      <c r="G19">
        <v>38.546995552145553</v>
      </c>
      <c r="H19">
        <v>38.546995552145553</v>
      </c>
      <c r="I19">
        <v>38.546995552145553</v>
      </c>
      <c r="J19">
        <v>38.546995552145553</v>
      </c>
      <c r="K19">
        <v>39.765549410450816</v>
      </c>
      <c r="L19">
        <v>96.851313418633879</v>
      </c>
      <c r="M19">
        <v>167.42937064504369</v>
      </c>
      <c r="N19">
        <v>356.86274851435388</v>
      </c>
      <c r="O19">
        <v>409.50638146448551</v>
      </c>
      <c r="P19">
        <v>589.85592239333982</v>
      </c>
      <c r="Q19">
        <v>680.14816505573708</v>
      </c>
      <c r="R19">
        <v>672.29997491829397</v>
      </c>
      <c r="S19">
        <v>611.63052410568775</v>
      </c>
      <c r="T19">
        <v>544.30471924666404</v>
      </c>
      <c r="U19">
        <v>417.15400435761393</v>
      </c>
      <c r="V19">
        <v>324.51879755186752</v>
      </c>
      <c r="W19">
        <v>197.15090891504749</v>
      </c>
      <c r="X19">
        <v>131.21063941717071</v>
      </c>
      <c r="Y19">
        <v>72.467341673781178</v>
      </c>
    </row>
    <row r="20" spans="1:25" x14ac:dyDescent="0.35">
      <c r="A20" s="1" t="s">
        <v>40</v>
      </c>
      <c r="B20">
        <v>1173.614267088765</v>
      </c>
      <c r="C20">
        <v>1173.614267088765</v>
      </c>
      <c r="D20">
        <v>977.39784988215456</v>
      </c>
      <c r="E20">
        <v>753.65887868405082</v>
      </c>
      <c r="F20">
        <v>504.72225529458382</v>
      </c>
      <c r="G20">
        <v>247.7293081109803</v>
      </c>
      <c r="H20">
        <v>71.539495786550404</v>
      </c>
      <c r="I20">
        <v>38.546995552145553</v>
      </c>
      <c r="J20">
        <v>223.43120095563111</v>
      </c>
      <c r="K20">
        <v>383.23274727186208</v>
      </c>
      <c r="L20">
        <v>792.58182433897446</v>
      </c>
      <c r="M20">
        <v>1087.9452319381001</v>
      </c>
      <c r="N20">
        <v>1373.4559307193031</v>
      </c>
      <c r="O20">
        <v>1597.86794961751</v>
      </c>
      <c r="P20">
        <v>1751.7240328840419</v>
      </c>
      <c r="Q20">
        <v>1888.8531536752439</v>
      </c>
      <c r="R20">
        <v>1927.3497776072779</v>
      </c>
      <c r="S20">
        <v>1927.3497776072779</v>
      </c>
      <c r="T20">
        <v>1866.043606319829</v>
      </c>
      <c r="U20">
        <v>1866.043606319829</v>
      </c>
      <c r="V20">
        <v>1816.974250198391</v>
      </c>
      <c r="W20">
        <v>1626.2548763284169</v>
      </c>
      <c r="X20">
        <v>1626.2548763284169</v>
      </c>
      <c r="Y20">
        <v>1398.1648257527461</v>
      </c>
    </row>
    <row r="21" spans="1:25" x14ac:dyDescent="0.35">
      <c r="A21" s="1" t="s">
        <v>41</v>
      </c>
      <c r="B21">
        <v>454.14633567070729</v>
      </c>
      <c r="C21">
        <v>279.6933063895803</v>
      </c>
      <c r="D21">
        <v>279.6933063895803</v>
      </c>
      <c r="E21">
        <v>120.4558513841248</v>
      </c>
      <c r="F21">
        <v>120.4558513841248</v>
      </c>
      <c r="G21">
        <v>120.4558513841248</v>
      </c>
      <c r="H21">
        <v>120.4558513841248</v>
      </c>
      <c r="I21">
        <v>38.546995552145553</v>
      </c>
      <c r="J21">
        <v>60.374597463523457</v>
      </c>
      <c r="K21">
        <v>224.30228889415909</v>
      </c>
      <c r="L21">
        <v>506.12769624308459</v>
      </c>
      <c r="M21">
        <v>886.98387541389116</v>
      </c>
      <c r="N21">
        <v>1293.627197761876</v>
      </c>
      <c r="O21">
        <v>1599.2107152377539</v>
      </c>
      <c r="P21">
        <v>1827.4653610535361</v>
      </c>
      <c r="Q21">
        <v>1927.3497776072779</v>
      </c>
      <c r="R21">
        <v>1841.3114312160351</v>
      </c>
      <c r="S21">
        <v>1672.4208287012909</v>
      </c>
      <c r="T21">
        <v>1471.216542426004</v>
      </c>
      <c r="U21">
        <v>1243.0089574871911</v>
      </c>
      <c r="V21">
        <v>1007.856849255449</v>
      </c>
      <c r="W21">
        <v>753.61949252724708</v>
      </c>
      <c r="X21">
        <v>707.81727372185469</v>
      </c>
      <c r="Y21">
        <v>622.36167269077532</v>
      </c>
    </row>
    <row r="22" spans="1:25" x14ac:dyDescent="0.35">
      <c r="A22" s="1" t="s">
        <v>42</v>
      </c>
      <c r="B22">
        <v>52.868158243682267</v>
      </c>
      <c r="C22">
        <v>45.981256715915798</v>
      </c>
      <c r="D22">
        <v>45.981256715915798</v>
      </c>
      <c r="E22">
        <v>45.981256715915798</v>
      </c>
      <c r="F22">
        <v>45.981256715915798</v>
      </c>
      <c r="G22">
        <v>38.546995552145553</v>
      </c>
      <c r="H22">
        <v>38.546995552145553</v>
      </c>
      <c r="I22">
        <v>38.546995552145553</v>
      </c>
      <c r="J22">
        <v>119.10354744447839</v>
      </c>
      <c r="K22">
        <v>279.14660200306128</v>
      </c>
      <c r="L22">
        <v>336.23236601124432</v>
      </c>
      <c r="M22">
        <v>441.35276401749968</v>
      </c>
      <c r="N22">
        <v>515.68724921463308</v>
      </c>
      <c r="O22">
        <v>568.3308821647646</v>
      </c>
      <c r="P22">
        <v>589.85592239334119</v>
      </c>
      <c r="Q22">
        <v>680.14816505573833</v>
      </c>
      <c r="R22">
        <v>672.29997491829511</v>
      </c>
      <c r="S22">
        <v>611.63052410568878</v>
      </c>
      <c r="T22">
        <v>544.30471924666494</v>
      </c>
      <c r="U22">
        <v>417.15400435761472</v>
      </c>
      <c r="V22">
        <v>324.5187975518682</v>
      </c>
      <c r="W22">
        <v>197.15090891504801</v>
      </c>
      <c r="X22">
        <v>131.21063941717119</v>
      </c>
      <c r="Y22">
        <v>72.467341673781519</v>
      </c>
    </row>
    <row r="23" spans="1:25" x14ac:dyDescent="0.35">
      <c r="A23" s="1" t="s">
        <v>43</v>
      </c>
      <c r="B23">
        <v>1171.3451900702009</v>
      </c>
      <c r="C23">
        <v>964.43195452992995</v>
      </c>
      <c r="D23">
        <v>768.21553732331995</v>
      </c>
      <c r="E23">
        <v>544.4765661252161</v>
      </c>
      <c r="F23">
        <v>295.53994273574898</v>
      </c>
      <c r="G23">
        <v>38.546995552145553</v>
      </c>
      <c r="H23">
        <v>38.546995552145553</v>
      </c>
      <c r="I23">
        <v>38.546995552145553</v>
      </c>
      <c r="J23">
        <v>64.606700255353516</v>
      </c>
      <c r="K23">
        <v>224.4082465715845</v>
      </c>
      <c r="L23">
        <v>474.93282293841918</v>
      </c>
      <c r="M23">
        <v>770.29623053754494</v>
      </c>
      <c r="N23">
        <v>1055.8069293187471</v>
      </c>
      <c r="O23">
        <v>1379.0303177309049</v>
      </c>
      <c r="P23">
        <v>1691.710901697714</v>
      </c>
      <c r="Q23">
        <v>1888.8531536752439</v>
      </c>
      <c r="R23">
        <v>1927.3497776072779</v>
      </c>
      <c r="S23">
        <v>1927.3497776072779</v>
      </c>
      <c r="T23">
        <v>1927.3497776072779</v>
      </c>
      <c r="U23">
        <v>1927.3497776072779</v>
      </c>
      <c r="V23">
        <v>1927.3497776072779</v>
      </c>
      <c r="W23">
        <v>1835.4022761707929</v>
      </c>
      <c r="X23">
        <v>1623.985799309854</v>
      </c>
      <c r="Y23">
        <v>1395.895748734182</v>
      </c>
    </row>
    <row r="24" spans="1:25" x14ac:dyDescent="0.35">
      <c r="A24" s="1" t="s">
        <v>44</v>
      </c>
      <c r="B24">
        <v>189.43786231358959</v>
      </c>
      <c r="C24">
        <v>177.03411443260299</v>
      </c>
      <c r="D24">
        <v>177.03411443260299</v>
      </c>
      <c r="E24">
        <v>177.03411443260299</v>
      </c>
      <c r="F24">
        <v>177.03411443260299</v>
      </c>
      <c r="G24">
        <v>38.546995552145553</v>
      </c>
      <c r="H24">
        <v>38.546995552145553</v>
      </c>
      <c r="I24">
        <v>38.546995552145553</v>
      </c>
      <c r="J24">
        <v>60.374597463523457</v>
      </c>
      <c r="K24">
        <v>224.30228889415909</v>
      </c>
      <c r="L24">
        <v>506.12769624308459</v>
      </c>
      <c r="M24">
        <v>886.98387541389116</v>
      </c>
      <c r="N24">
        <v>1293.627197761876</v>
      </c>
      <c r="O24">
        <v>1599.2107152377539</v>
      </c>
      <c r="P24">
        <v>1827.4653610535361</v>
      </c>
      <c r="Q24">
        <v>1927.3497776072791</v>
      </c>
      <c r="R24">
        <v>1841.3114312160369</v>
      </c>
      <c r="S24">
        <v>1692.066334478189</v>
      </c>
      <c r="T24">
        <v>1490.8620482029021</v>
      </c>
      <c r="U24">
        <v>1262.6544632640889</v>
      </c>
      <c r="V24">
        <v>1027.502355032346</v>
      </c>
      <c r="W24">
        <v>773.26499830414446</v>
      </c>
      <c r="X24">
        <v>565.41349809861163</v>
      </c>
      <c r="Y24">
        <v>357.65319933365771</v>
      </c>
    </row>
    <row r="25" spans="1:25" x14ac:dyDescent="0.35">
      <c r="A25" s="1" t="s">
        <v>45</v>
      </c>
      <c r="B25">
        <v>1300.069770795222</v>
      </c>
      <c r="C25">
        <v>1293.1828692674551</v>
      </c>
      <c r="D25">
        <v>1293.1828692674551</v>
      </c>
      <c r="E25">
        <v>1293.1828692674551</v>
      </c>
      <c r="F25">
        <v>1293.1828692674551</v>
      </c>
      <c r="G25">
        <v>1285.748608103685</v>
      </c>
      <c r="H25">
        <v>1285.748608103685</v>
      </c>
      <c r="I25">
        <v>1285.748608103685</v>
      </c>
      <c r="J25">
        <v>1366.3051599960179</v>
      </c>
      <c r="K25">
        <v>1526.3482145546011</v>
      </c>
      <c r="L25">
        <v>1583.433978562784</v>
      </c>
      <c r="M25">
        <v>1778.8466192314361</v>
      </c>
      <c r="N25">
        <v>1853.1811044285701</v>
      </c>
      <c r="O25">
        <v>1905.824737378701</v>
      </c>
      <c r="P25">
        <v>1927.3497776072779</v>
      </c>
      <c r="Q25">
        <v>1927.3497776072779</v>
      </c>
      <c r="R25">
        <v>1919.501587469834</v>
      </c>
      <c r="S25">
        <v>1858.8321366572279</v>
      </c>
      <c r="T25">
        <v>1791.506331798204</v>
      </c>
      <c r="U25">
        <v>1664.3556169091539</v>
      </c>
      <c r="V25">
        <v>1571.7204101034069</v>
      </c>
      <c r="W25">
        <v>1444.3525214665869</v>
      </c>
      <c r="X25">
        <v>1378.4122519687101</v>
      </c>
      <c r="Y25">
        <v>1319.6689542253209</v>
      </c>
    </row>
    <row r="26" spans="1:25" x14ac:dyDescent="0.35">
      <c r="A26" s="1" t="s">
        <v>46</v>
      </c>
      <c r="B26">
        <v>870.39095676425404</v>
      </c>
      <c r="C26">
        <v>870.39095676425404</v>
      </c>
      <c r="D26">
        <v>870.39095676425404</v>
      </c>
      <c r="E26">
        <v>612.59351241917216</v>
      </c>
      <c r="F26">
        <v>329.59841588272712</v>
      </c>
      <c r="G26">
        <v>38.546995552145589</v>
      </c>
      <c r="H26">
        <v>38.546995552145589</v>
      </c>
      <c r="I26">
        <v>38.546995552145589</v>
      </c>
      <c r="J26">
        <v>64.606700255353545</v>
      </c>
      <c r="K26">
        <v>224.4082465715845</v>
      </c>
      <c r="L26">
        <v>600.3766141073437</v>
      </c>
      <c r="M26">
        <v>895.74002170646941</v>
      </c>
      <c r="N26">
        <v>1254.760427426758</v>
      </c>
      <c r="O26">
        <v>1479.1724463249659</v>
      </c>
      <c r="P26">
        <v>1758.472320760422</v>
      </c>
      <c r="Q26">
        <v>1922.2338632065989</v>
      </c>
      <c r="R26">
        <v>1927.3497776072791</v>
      </c>
      <c r="S26">
        <v>1854.5885914426151</v>
      </c>
      <c r="T26">
        <v>1759.2239470081879</v>
      </c>
      <c r="U26">
        <v>1633.3666962608879</v>
      </c>
      <c r="V26">
        <v>1430.29461717048</v>
      </c>
      <c r="W26">
        <v>1430.29461717048</v>
      </c>
      <c r="X26">
        <v>1184.8196671625619</v>
      </c>
      <c r="Y26">
        <v>1128.999988575214</v>
      </c>
    </row>
    <row r="27" spans="1:25" x14ac:dyDescent="0.35">
      <c r="A27" s="1" t="s">
        <v>47</v>
      </c>
      <c r="B27">
        <v>383.82151118109869</v>
      </c>
      <c r="C27">
        <v>337.35929015313411</v>
      </c>
      <c r="D27">
        <v>316.41568874504509</v>
      </c>
      <c r="E27">
        <v>157.17823373958959</v>
      </c>
      <c r="F27">
        <v>138.634484019637</v>
      </c>
      <c r="G27">
        <v>120.4558513841248</v>
      </c>
      <c r="H27">
        <v>120.4558513841248</v>
      </c>
      <c r="I27">
        <v>38.546995552145589</v>
      </c>
      <c r="J27">
        <v>60.374597463523507</v>
      </c>
      <c r="K27">
        <v>224.30228889415929</v>
      </c>
      <c r="L27">
        <v>506.12769624308481</v>
      </c>
      <c r="M27">
        <v>886.98387541389127</v>
      </c>
      <c r="N27">
        <v>1293.627197761876</v>
      </c>
      <c r="O27">
        <v>1599.210715237755</v>
      </c>
      <c r="P27">
        <v>1827.4653610535361</v>
      </c>
      <c r="Q27">
        <v>1927.3497776072791</v>
      </c>
      <c r="R27">
        <v>1927.3497776072791</v>
      </c>
      <c r="S27">
        <v>1758.4591750925349</v>
      </c>
      <c r="T27">
        <v>1557.254888817248</v>
      </c>
      <c r="U27">
        <v>1457.0381121315979</v>
      </c>
      <c r="V27">
        <v>1221.886003899855</v>
      </c>
      <c r="W27">
        <v>967.64864717165347</v>
      </c>
      <c r="X27">
        <v>759.79714696612064</v>
      </c>
      <c r="Y27">
        <v>552.03684820116678</v>
      </c>
    </row>
    <row r="28" spans="1:25" x14ac:dyDescent="0.35">
      <c r="A28" s="1" t="s">
        <v>48</v>
      </c>
      <c r="B28">
        <v>238.87638639159641</v>
      </c>
      <c r="C28">
        <v>197.9310117168518</v>
      </c>
      <c r="D28">
        <v>175.80518055767851</v>
      </c>
      <c r="E28">
        <v>155.88289522844761</v>
      </c>
      <c r="F28">
        <v>136.98375598369969</v>
      </c>
      <c r="G28">
        <v>95.491021672951319</v>
      </c>
      <c r="H28">
        <v>61.432548525973232</v>
      </c>
      <c r="I28">
        <v>38.546995552145589</v>
      </c>
      <c r="J28">
        <v>85.722837913125147</v>
      </c>
      <c r="K28">
        <v>212.38518294035481</v>
      </c>
      <c r="L28">
        <v>394.91473811746232</v>
      </c>
      <c r="M28">
        <v>590.93658651279657</v>
      </c>
      <c r="N28">
        <v>790.71486287885409</v>
      </c>
      <c r="O28">
        <v>968.80228699791007</v>
      </c>
      <c r="P28">
        <v>1115.7711183954109</v>
      </c>
      <c r="Q28">
        <v>1172.6826515264549</v>
      </c>
      <c r="R28">
        <v>1130.7759882420339</v>
      </c>
      <c r="S28">
        <v>1036.04806428245</v>
      </c>
      <c r="T28">
        <v>934.66378627644769</v>
      </c>
      <c r="U28">
        <v>773.45459824041927</v>
      </c>
      <c r="V28">
        <v>646.76091828769472</v>
      </c>
      <c r="W28">
        <v>485.33455650389652</v>
      </c>
      <c r="X28">
        <v>385.33581385904148</v>
      </c>
      <c r="Y28">
        <v>292.5340429686737</v>
      </c>
    </row>
    <row r="29" spans="1:25" x14ac:dyDescent="0.35">
      <c r="A29" s="1" t="s">
        <v>49</v>
      </c>
      <c r="B29">
        <v>934.34306937152473</v>
      </c>
      <c r="C29">
        <v>934.34306937152473</v>
      </c>
      <c r="D29">
        <v>737.84671801058857</v>
      </c>
      <c r="E29">
        <v>513.82781265815856</v>
      </c>
      <c r="F29">
        <v>505.56205775756217</v>
      </c>
      <c r="G29">
        <v>248.28917641963261</v>
      </c>
      <c r="H29">
        <v>71.819429940876603</v>
      </c>
      <c r="I29">
        <v>38.546995552145589</v>
      </c>
      <c r="J29">
        <v>64.606700255353545</v>
      </c>
      <c r="K29">
        <v>224.4082465715845</v>
      </c>
      <c r="L29">
        <v>574.56728284633618</v>
      </c>
      <c r="M29">
        <v>1028.480827681085</v>
      </c>
      <c r="N29">
        <v>1313.9915264622871</v>
      </c>
      <c r="O29">
        <v>1696.9536825961161</v>
      </c>
      <c r="P29">
        <v>1850.809765862648</v>
      </c>
      <c r="Q29">
        <v>1889.1275171399</v>
      </c>
      <c r="R29">
        <v>1927.3497776072791</v>
      </c>
      <c r="S29">
        <v>1888.367130435267</v>
      </c>
      <c r="T29">
        <v>1826.7810249934921</v>
      </c>
      <c r="U29">
        <v>1734.702313238844</v>
      </c>
      <c r="V29">
        <v>1565.408773141088</v>
      </c>
      <c r="W29">
        <v>1374.4094651167879</v>
      </c>
      <c r="X29">
        <v>1162.7130541015219</v>
      </c>
      <c r="Y29">
        <v>934.34306937152473</v>
      </c>
    </row>
    <row r="30" spans="1:25" x14ac:dyDescent="0.35">
      <c r="A30" s="1" t="s">
        <v>50</v>
      </c>
      <c r="B30">
        <v>711.6963371559217</v>
      </c>
      <c r="C30">
        <v>537.24330787479471</v>
      </c>
      <c r="D30">
        <v>537.24330787479471</v>
      </c>
      <c r="E30">
        <v>378.00585286933921</v>
      </c>
      <c r="F30">
        <v>231.47129489622409</v>
      </c>
      <c r="G30">
        <v>231.47129489622409</v>
      </c>
      <c r="H30">
        <v>120.4558513841248</v>
      </c>
      <c r="I30">
        <v>38.546995552145589</v>
      </c>
      <c r="J30">
        <v>60.374597463523493</v>
      </c>
      <c r="K30">
        <v>224.30228889415909</v>
      </c>
      <c r="L30">
        <v>506.12769624308459</v>
      </c>
      <c r="M30">
        <v>886.98387541389116</v>
      </c>
      <c r="N30">
        <v>1293.627197761876</v>
      </c>
      <c r="O30">
        <v>1599.2107152377539</v>
      </c>
      <c r="P30">
        <v>1827.4653610535361</v>
      </c>
      <c r="Q30">
        <v>1927.3497776072791</v>
      </c>
      <c r="R30">
        <v>1927.3497776072791</v>
      </c>
      <c r="S30">
        <v>1890.7861148288921</v>
      </c>
      <c r="T30">
        <v>1851.351175799419</v>
      </c>
      <c r="U30">
        <v>1784.9129381064211</v>
      </c>
      <c r="V30">
        <v>1549.7608298746779</v>
      </c>
      <c r="W30">
        <v>1295.5234731464759</v>
      </c>
      <c r="X30">
        <v>1087.671972940944</v>
      </c>
      <c r="Y30">
        <v>879.91167417598967</v>
      </c>
    </row>
    <row r="31" spans="1:25" x14ac:dyDescent="0.35">
      <c r="A31" s="1" t="s">
        <v>51</v>
      </c>
      <c r="B31">
        <v>53.707960706660749</v>
      </c>
      <c r="C31">
        <v>46.541125024568132</v>
      </c>
      <c r="D31">
        <v>46.541125024568132</v>
      </c>
      <c r="E31">
        <v>46.541125024568132</v>
      </c>
      <c r="F31">
        <v>46.541125024568132</v>
      </c>
      <c r="G31">
        <v>38.826929706471731</v>
      </c>
      <c r="H31">
        <v>38.546995552145589</v>
      </c>
      <c r="I31">
        <v>38.546995552145589</v>
      </c>
      <c r="J31">
        <v>38.546995552145589</v>
      </c>
      <c r="K31">
        <v>39.765549410450838</v>
      </c>
      <c r="L31">
        <v>96.851313418633907</v>
      </c>
      <c r="M31">
        <v>167.4293706450438</v>
      </c>
      <c r="N31">
        <v>241.76385584217709</v>
      </c>
      <c r="O31">
        <v>413.41431824571089</v>
      </c>
      <c r="P31">
        <v>593.4894957099101</v>
      </c>
      <c r="Q31">
        <v>683.50737490765221</v>
      </c>
      <c r="R31">
        <v>675.37925061588282</v>
      </c>
      <c r="S31">
        <v>614.42986564895034</v>
      </c>
      <c r="T31">
        <v>546.82412663560035</v>
      </c>
      <c r="U31">
        <v>419.39347759222392</v>
      </c>
      <c r="V31">
        <v>326.47833663215141</v>
      </c>
      <c r="W31">
        <v>198.830513841005</v>
      </c>
      <c r="X31">
        <v>132.610310188802</v>
      </c>
      <c r="Y31">
        <v>73.587078291086158</v>
      </c>
    </row>
    <row r="32" spans="1:25" x14ac:dyDescent="0.35">
      <c r="A32" s="1" t="s">
        <v>52</v>
      </c>
      <c r="B32">
        <v>1071.959507199653</v>
      </c>
      <c r="C32">
        <v>910.97552085854477</v>
      </c>
      <c r="D32">
        <v>760.68835285109765</v>
      </c>
      <c r="E32">
        <v>582.87863085215679</v>
      </c>
      <c r="F32">
        <v>379.87125666185261</v>
      </c>
      <c r="G32">
        <v>168.80755867741249</v>
      </c>
      <c r="H32">
        <v>38.546995552145589</v>
      </c>
      <c r="I32">
        <v>38.546995552145589</v>
      </c>
      <c r="J32">
        <v>225.1293280779187</v>
      </c>
      <c r="K32">
        <v>384.93087439414973</v>
      </c>
      <c r="L32">
        <v>635.45545076098438</v>
      </c>
      <c r="M32">
        <v>930.81885836011008</v>
      </c>
      <c r="N32">
        <v>1216.3295571413121</v>
      </c>
      <c r="O32">
        <v>1644.5813338798971</v>
      </c>
      <c r="P32">
        <v>1798.437417146429</v>
      </c>
      <c r="Q32">
        <v>1836.755168423681</v>
      </c>
      <c r="R32">
        <v>1920.267049495814</v>
      </c>
      <c r="S32">
        <v>1927.3497776072791</v>
      </c>
      <c r="T32">
        <v>1911.972855518994</v>
      </c>
      <c r="U32">
        <v>1866.1033271178339</v>
      </c>
      <c r="V32">
        <v>1743.0189703735671</v>
      </c>
      <c r="W32">
        <v>1598.228845702756</v>
      </c>
      <c r="X32">
        <v>1432.74161804098</v>
      </c>
      <c r="Y32">
        <v>1250.580816664472</v>
      </c>
    </row>
    <row r="33" spans="1:25" x14ac:dyDescent="0.35">
      <c r="A33" s="1" t="s">
        <v>53</v>
      </c>
      <c r="B33">
        <v>445.03140669861108</v>
      </c>
      <c r="C33">
        <v>445.03140669861108</v>
      </c>
      <c r="D33">
        <v>296.09699703735993</v>
      </c>
      <c r="E33">
        <v>296.09699703735993</v>
      </c>
      <c r="F33">
        <v>149.5624390642449</v>
      </c>
      <c r="G33">
        <v>149.5624390642449</v>
      </c>
      <c r="H33">
        <v>38.546995552145589</v>
      </c>
      <c r="I33">
        <v>38.546995552145589</v>
      </c>
      <c r="J33">
        <v>60.374597463523493</v>
      </c>
      <c r="K33">
        <v>224.30228889415909</v>
      </c>
      <c r="L33">
        <v>506.12769624308459</v>
      </c>
      <c r="M33">
        <v>886.98387541389116</v>
      </c>
      <c r="N33">
        <v>1293.627197761876</v>
      </c>
      <c r="O33">
        <v>1599.2107152377539</v>
      </c>
      <c r="P33">
        <v>1827.4653610535361</v>
      </c>
      <c r="Q33">
        <v>1927.3497776072791</v>
      </c>
      <c r="R33">
        <v>1915.346195102667</v>
      </c>
      <c r="S33">
        <v>1746.4555925879231</v>
      </c>
      <c r="T33">
        <v>1746.4555925879231</v>
      </c>
      <c r="U33">
        <v>1518.2480076491099</v>
      </c>
      <c r="V33">
        <v>1283.095899417367</v>
      </c>
      <c r="W33">
        <v>1028.8585426891659</v>
      </c>
      <c r="X33">
        <v>821.00704248363309</v>
      </c>
      <c r="Y33">
        <v>613.24674371867923</v>
      </c>
    </row>
    <row r="34" spans="1:25" x14ac:dyDescent="0.35">
      <c r="A34" s="1" t="s">
        <v>54</v>
      </c>
      <c r="B34">
        <v>38.546995552145589</v>
      </c>
      <c r="C34">
        <v>38.546995552145589</v>
      </c>
      <c r="D34">
        <v>38.546995552145589</v>
      </c>
      <c r="E34">
        <v>38.546995552145589</v>
      </c>
      <c r="F34">
        <v>38.546995552145589</v>
      </c>
      <c r="G34">
        <v>38.546995552145589</v>
      </c>
      <c r="H34">
        <v>38.546995552145589</v>
      </c>
      <c r="I34">
        <v>38.546995552145589</v>
      </c>
      <c r="J34">
        <v>38.546995552145589</v>
      </c>
      <c r="K34">
        <v>40.707904792084342</v>
      </c>
      <c r="L34">
        <v>97.793668800267398</v>
      </c>
      <c r="M34">
        <v>168.37172602667729</v>
      </c>
      <c r="N34">
        <v>242.70621122381061</v>
      </c>
      <c r="O34">
        <v>295.34984417394219</v>
      </c>
      <c r="P34">
        <v>316.87488440251877</v>
      </c>
      <c r="Q34">
        <v>316.87488440251877</v>
      </c>
      <c r="R34">
        <v>316.87488440251877</v>
      </c>
      <c r="S34">
        <v>302.13468278907533</v>
      </c>
      <c r="T34">
        <v>280.73812712921438</v>
      </c>
      <c r="U34">
        <v>199.51666143932701</v>
      </c>
      <c r="V34">
        <v>152.81070383274351</v>
      </c>
      <c r="W34">
        <v>71.372064395086284</v>
      </c>
      <c r="X34">
        <v>51.361044096372318</v>
      </c>
      <c r="Y34">
        <v>38.546995552145589</v>
      </c>
    </row>
    <row r="35" spans="1:25" x14ac:dyDescent="0.35">
      <c r="A35" s="1" t="s">
        <v>55</v>
      </c>
      <c r="B35">
        <v>1071.959507199653</v>
      </c>
      <c r="C35">
        <v>910.97552085854443</v>
      </c>
      <c r="D35">
        <v>760.68835285109742</v>
      </c>
      <c r="E35">
        <v>582.87863085215668</v>
      </c>
      <c r="F35">
        <v>379.87125666185261</v>
      </c>
      <c r="G35">
        <v>168.80755867741249</v>
      </c>
      <c r="H35">
        <v>38.546995552145567</v>
      </c>
      <c r="I35">
        <v>51.226303212505073</v>
      </c>
      <c r="J35">
        <v>77.286007915713043</v>
      </c>
      <c r="K35">
        <v>237.08755423194401</v>
      </c>
      <c r="L35">
        <v>487.61213059877878</v>
      </c>
      <c r="M35">
        <v>782.9755381979046</v>
      </c>
      <c r="N35">
        <v>1216.3295571413109</v>
      </c>
      <c r="O35">
        <v>1440.7415760395179</v>
      </c>
      <c r="P35">
        <v>1594.59765930605</v>
      </c>
      <c r="Q35">
        <v>1836.7551684236801</v>
      </c>
      <c r="R35">
        <v>1920.2670494958129</v>
      </c>
      <c r="S35">
        <v>1927.3497776072791</v>
      </c>
      <c r="T35">
        <v>1911.9728555189929</v>
      </c>
      <c r="U35">
        <v>1866.103327117833</v>
      </c>
      <c r="V35">
        <v>1743.0189703735659</v>
      </c>
      <c r="W35">
        <v>1598.228845702756</v>
      </c>
      <c r="X35">
        <v>1432.7416180409789</v>
      </c>
      <c r="Y35">
        <v>1250.5808166644711</v>
      </c>
    </row>
    <row r="36" spans="1:25" x14ac:dyDescent="0.35">
      <c r="A36" s="1" t="s">
        <v>56</v>
      </c>
      <c r="B36">
        <v>370.99664281198039</v>
      </c>
      <c r="C36">
        <v>370.99664281198039</v>
      </c>
      <c r="D36">
        <v>222.0622331507291</v>
      </c>
      <c r="E36">
        <v>222.0622331507291</v>
      </c>
      <c r="F36">
        <v>75.5276751776141</v>
      </c>
      <c r="G36">
        <v>75.5276751776141</v>
      </c>
      <c r="H36">
        <v>75.5276751776141</v>
      </c>
      <c r="I36">
        <v>38.546995552145567</v>
      </c>
      <c r="J36">
        <v>60.374597463523493</v>
      </c>
      <c r="K36">
        <v>224.30228889415909</v>
      </c>
      <c r="L36">
        <v>506.12769624308447</v>
      </c>
      <c r="M36">
        <v>886.98387541389093</v>
      </c>
      <c r="N36">
        <v>1293.6271977618751</v>
      </c>
      <c r="O36">
        <v>1599.2107152377539</v>
      </c>
      <c r="P36">
        <v>1827.4653610535361</v>
      </c>
      <c r="Q36">
        <v>1927.3497776072791</v>
      </c>
      <c r="R36">
        <v>1841.311431216036</v>
      </c>
      <c r="S36">
        <v>1672.420828701293</v>
      </c>
      <c r="T36">
        <v>1672.420828701293</v>
      </c>
      <c r="U36">
        <v>1444.2132437624789</v>
      </c>
      <c r="V36">
        <v>1209.0611355307369</v>
      </c>
      <c r="W36">
        <v>954.82377880253512</v>
      </c>
      <c r="X36">
        <v>746.97227859700229</v>
      </c>
      <c r="Y36">
        <v>539.21197983204843</v>
      </c>
    </row>
    <row r="37" spans="1:25" x14ac:dyDescent="0.35">
      <c r="A37" s="1" t="s">
        <v>57</v>
      </c>
      <c r="B37">
        <v>38.546995552145567</v>
      </c>
      <c r="C37">
        <v>38.546995552145567</v>
      </c>
      <c r="D37">
        <v>38.546995552145567</v>
      </c>
      <c r="E37">
        <v>38.546995552145567</v>
      </c>
      <c r="F37">
        <v>38.546995552145567</v>
      </c>
      <c r="G37">
        <v>38.546995552145567</v>
      </c>
      <c r="H37">
        <v>38.546995552145567</v>
      </c>
      <c r="I37">
        <v>39.489350933778283</v>
      </c>
      <c r="J37">
        <v>39.489350933778283</v>
      </c>
      <c r="K37">
        <v>40.707904792083539</v>
      </c>
      <c r="L37">
        <v>97.793668800266602</v>
      </c>
      <c r="M37">
        <v>168.3717260266765</v>
      </c>
      <c r="N37">
        <v>242.70621122380979</v>
      </c>
      <c r="O37">
        <v>295.34984417394139</v>
      </c>
      <c r="P37">
        <v>316.87488440251798</v>
      </c>
      <c r="Q37">
        <v>316.87488440251798</v>
      </c>
      <c r="R37">
        <v>316.87488440251798</v>
      </c>
      <c r="S37">
        <v>302.13468278907459</v>
      </c>
      <c r="T37">
        <v>280.73812712921392</v>
      </c>
      <c r="U37">
        <v>199.51666143932661</v>
      </c>
      <c r="V37">
        <v>152.8107038327432</v>
      </c>
      <c r="W37">
        <v>71.372064395086042</v>
      </c>
      <c r="X37">
        <v>51.36104409637219</v>
      </c>
      <c r="Y37">
        <v>38.546995552145567</v>
      </c>
    </row>
    <row r="38" spans="1:25" x14ac:dyDescent="0.35">
      <c r="A38" s="1" t="s">
        <v>58</v>
      </c>
      <c r="B38">
        <v>1071.959507199653</v>
      </c>
      <c r="C38">
        <v>910.975520858545</v>
      </c>
      <c r="D38">
        <v>760.68835285109799</v>
      </c>
      <c r="E38">
        <v>582.87863085215724</v>
      </c>
      <c r="F38">
        <v>379.87125666185318</v>
      </c>
      <c r="G38">
        <v>168.8075586774124</v>
      </c>
      <c r="H38">
        <v>38.546995552145567</v>
      </c>
      <c r="I38">
        <v>51.226303212505073</v>
      </c>
      <c r="J38">
        <v>77.286007915713043</v>
      </c>
      <c r="K38">
        <v>237.08755423194401</v>
      </c>
      <c r="L38">
        <v>487.61213059877878</v>
      </c>
      <c r="M38">
        <v>782.9755381979046</v>
      </c>
      <c r="N38">
        <v>1216.3295571413109</v>
      </c>
      <c r="O38">
        <v>1440.7415760395179</v>
      </c>
      <c r="P38">
        <v>1594.59765930605</v>
      </c>
      <c r="Q38">
        <v>1836.7551684236801</v>
      </c>
      <c r="R38">
        <v>1920.2670494958129</v>
      </c>
      <c r="S38">
        <v>1927.3497776072791</v>
      </c>
      <c r="T38">
        <v>1911.9728555189929</v>
      </c>
      <c r="U38">
        <v>1866.1033271178339</v>
      </c>
      <c r="V38">
        <v>1743.0189703735671</v>
      </c>
      <c r="W38">
        <v>1598.228845702756</v>
      </c>
      <c r="X38">
        <v>1432.74161804098</v>
      </c>
      <c r="Y38">
        <v>1250.580816664472</v>
      </c>
    </row>
    <row r="39" spans="1:25" x14ac:dyDescent="0.35">
      <c r="A39" s="1" t="s">
        <v>59</v>
      </c>
      <c r="B39">
        <v>999.11786569763046</v>
      </c>
      <c r="C39">
        <v>824.66483641650348</v>
      </c>
      <c r="D39">
        <v>675.73042675525221</v>
      </c>
      <c r="E39">
        <v>516.49297174979665</v>
      </c>
      <c r="F39">
        <v>369.9584137766816</v>
      </c>
      <c r="G39">
        <v>231.47129489622409</v>
      </c>
      <c r="H39">
        <v>120.4558513841248</v>
      </c>
      <c r="I39">
        <v>38.546995552145567</v>
      </c>
      <c r="J39">
        <v>60.374597463523479</v>
      </c>
      <c r="K39">
        <v>224.3022888941592</v>
      </c>
      <c r="L39">
        <v>506.12769624308459</v>
      </c>
      <c r="M39">
        <v>886.98387541389116</v>
      </c>
      <c r="N39">
        <v>1293.627197761876</v>
      </c>
      <c r="O39">
        <v>1599.2107152377539</v>
      </c>
      <c r="P39">
        <v>1827.4653610535361</v>
      </c>
      <c r="Q39">
        <v>1927.3497776072791</v>
      </c>
      <c r="R39">
        <v>1841.311431216036</v>
      </c>
      <c r="S39">
        <v>1841.311431216036</v>
      </c>
      <c r="T39">
        <v>1841.311431216036</v>
      </c>
      <c r="U39">
        <v>1613.1038462772231</v>
      </c>
      <c r="V39">
        <v>1585.9302686447841</v>
      </c>
      <c r="W39">
        <v>1331.692911916582</v>
      </c>
      <c r="X39">
        <v>1206.878164462584</v>
      </c>
      <c r="Y39">
        <v>999.11786569763046</v>
      </c>
    </row>
    <row r="40" spans="1:25" x14ac:dyDescent="0.35">
      <c r="A40" s="1" t="s">
        <v>60</v>
      </c>
      <c r="B40">
        <v>38.546995552145567</v>
      </c>
      <c r="C40">
        <v>38.546995552145567</v>
      </c>
      <c r="D40">
        <v>38.546995552145567</v>
      </c>
      <c r="E40">
        <v>38.546995552145567</v>
      </c>
      <c r="F40">
        <v>39.489350933778283</v>
      </c>
      <c r="G40">
        <v>39.489350933778283</v>
      </c>
      <c r="H40">
        <v>39.489350933778283</v>
      </c>
      <c r="I40">
        <v>39.489350933778283</v>
      </c>
      <c r="J40">
        <v>39.489350933778283</v>
      </c>
      <c r="K40">
        <v>40.707904792083539</v>
      </c>
      <c r="L40">
        <v>97.793668800266602</v>
      </c>
      <c r="M40">
        <v>168.3717260266765</v>
      </c>
      <c r="N40">
        <v>242.70621122380979</v>
      </c>
      <c r="O40">
        <v>295.34984417394139</v>
      </c>
      <c r="P40">
        <v>316.87488440251798</v>
      </c>
      <c r="Q40">
        <v>316.87488440251798</v>
      </c>
      <c r="R40">
        <v>316.87488440251798</v>
      </c>
      <c r="S40">
        <v>302.13468278907459</v>
      </c>
      <c r="T40">
        <v>280.73812712921392</v>
      </c>
      <c r="U40">
        <v>199.51666143932661</v>
      </c>
      <c r="V40">
        <v>152.8107038327432</v>
      </c>
      <c r="W40">
        <v>71.372064395086042</v>
      </c>
      <c r="X40">
        <v>51.36104409637219</v>
      </c>
      <c r="Y40">
        <v>38.546995552145567</v>
      </c>
    </row>
    <row r="41" spans="1:25" x14ac:dyDescent="0.35">
      <c r="A41" s="1" t="s">
        <v>61</v>
      </c>
      <c r="B41">
        <v>298.2850607636272</v>
      </c>
      <c r="C41">
        <v>43.368739316334711</v>
      </c>
      <c r="D41">
        <v>43.368739316334711</v>
      </c>
      <c r="E41">
        <v>43.368739316334711</v>
      </c>
      <c r="F41">
        <v>43.368739316334711</v>
      </c>
      <c r="G41">
        <v>29.262158922624351</v>
      </c>
      <c r="H41">
        <v>29.262158922624351</v>
      </c>
      <c r="I41">
        <v>29.262158922624351</v>
      </c>
      <c r="J41">
        <v>55.321863625832322</v>
      </c>
      <c r="K41">
        <v>215.12340994206329</v>
      </c>
      <c r="L41">
        <v>465.64798630889811</v>
      </c>
      <c r="M41">
        <v>761.01139390802382</v>
      </c>
      <c r="N41">
        <v>1046.5220926892259</v>
      </c>
      <c r="O41">
        <v>1270.9341115874331</v>
      </c>
      <c r="P41">
        <v>1424.790194853965</v>
      </c>
      <c r="Q41">
        <v>1463.107946131217</v>
      </c>
      <c r="R41">
        <v>1454.3831215567479</v>
      </c>
      <c r="S41">
        <v>1454.3831215567479</v>
      </c>
      <c r="T41">
        <v>1345.0738643622781</v>
      </c>
      <c r="U41">
        <v>1345.0738643622781</v>
      </c>
      <c r="V41">
        <v>1345.0738643622781</v>
      </c>
      <c r="W41">
        <v>1106.351404585283</v>
      </c>
      <c r="X41">
        <v>846.93184181732238</v>
      </c>
      <c r="Y41">
        <v>570.83870533462982</v>
      </c>
    </row>
    <row r="42" spans="1:25" x14ac:dyDescent="0.35">
      <c r="A42" s="1" t="s">
        <v>62</v>
      </c>
      <c r="B42">
        <v>536.6789990766523</v>
      </c>
      <c r="C42">
        <v>362.22596979552532</v>
      </c>
      <c r="D42">
        <v>327.33775562739322</v>
      </c>
      <c r="E42">
        <v>168.10030062193769</v>
      </c>
      <c r="F42">
        <v>135.61193814194189</v>
      </c>
      <c r="G42">
        <v>111.1710147546036</v>
      </c>
      <c r="H42">
        <v>111.1710147546036</v>
      </c>
      <c r="I42">
        <v>29.262158922624351</v>
      </c>
      <c r="J42">
        <v>51.089760834002249</v>
      </c>
      <c r="K42">
        <v>215.01745226463791</v>
      </c>
      <c r="L42">
        <v>496.84285961356341</v>
      </c>
      <c r="M42">
        <v>858.9620762810398</v>
      </c>
      <c r="N42">
        <v>929.26978283955725</v>
      </c>
      <c r="O42">
        <v>1234.8533003154359</v>
      </c>
      <c r="P42">
        <v>1463.107946131217</v>
      </c>
      <c r="Q42">
        <v>1463.107946131217</v>
      </c>
      <c r="R42">
        <v>1409.8747053041609</v>
      </c>
      <c r="S42">
        <v>1355.030298282536</v>
      </c>
      <c r="T42">
        <v>1267.8722075003691</v>
      </c>
      <c r="U42">
        <v>1039.664622561555</v>
      </c>
      <c r="V42">
        <v>918.55870982293186</v>
      </c>
      <c r="W42">
        <v>778.36754858784946</v>
      </c>
      <c r="X42">
        <v>684.5622438754358</v>
      </c>
      <c r="Y42">
        <v>590.84814060360111</v>
      </c>
    </row>
    <row r="43" spans="1:25" x14ac:dyDescent="0.35">
      <c r="A43" s="1" t="s">
        <v>63</v>
      </c>
      <c r="B43">
        <v>29.262158922624351</v>
      </c>
      <c r="C43">
        <v>29.262158922624351</v>
      </c>
      <c r="D43">
        <v>29.262158922624351</v>
      </c>
      <c r="E43">
        <v>29.262158922624351</v>
      </c>
      <c r="F43">
        <v>29.262158922624351</v>
      </c>
      <c r="G43">
        <v>29.262158922624351</v>
      </c>
      <c r="H43">
        <v>29.262158922624351</v>
      </c>
      <c r="I43">
        <v>29.262158922624351</v>
      </c>
      <c r="J43">
        <v>62.770886317485619</v>
      </c>
      <c r="K43">
        <v>175.76611637859699</v>
      </c>
      <c r="L43">
        <v>344.6285565895862</v>
      </c>
      <c r="M43">
        <v>526.98329001880222</v>
      </c>
      <c r="N43">
        <v>713.09445141874176</v>
      </c>
      <c r="O43">
        <v>877.51476057167952</v>
      </c>
      <c r="P43">
        <v>1010.816477003062</v>
      </c>
      <c r="Q43">
        <v>1054.0608951679881</v>
      </c>
      <c r="R43">
        <v>1032.7186628534071</v>
      </c>
      <c r="S43">
        <v>924.04612613377958</v>
      </c>
      <c r="T43">
        <v>808.71723536773447</v>
      </c>
      <c r="U43">
        <v>633.56343457166292</v>
      </c>
      <c r="V43">
        <v>492.92514185889519</v>
      </c>
      <c r="W43">
        <v>317.55416731505392</v>
      </c>
      <c r="X43">
        <v>203.61081191015569</v>
      </c>
      <c r="Y43">
        <v>96.864428259744855</v>
      </c>
    </row>
    <row r="44" spans="1:25" x14ac:dyDescent="0.35">
      <c r="A44" s="1" t="s">
        <v>64</v>
      </c>
      <c r="B44">
        <v>595.95506146885191</v>
      </c>
      <c r="C44">
        <v>307.2602010289076</v>
      </c>
      <c r="D44">
        <v>29.262158922624351</v>
      </c>
      <c r="E44">
        <v>29.262158922624351</v>
      </c>
      <c r="F44">
        <v>29.262158922624351</v>
      </c>
      <c r="G44">
        <v>29.262158922624351</v>
      </c>
      <c r="H44">
        <v>29.262158922624351</v>
      </c>
      <c r="I44">
        <v>29.262158922624351</v>
      </c>
      <c r="J44">
        <v>55.32186362583252</v>
      </c>
      <c r="K44">
        <v>215.12340994206349</v>
      </c>
      <c r="L44">
        <v>465.64798630889828</v>
      </c>
      <c r="M44">
        <v>761.01139390802416</v>
      </c>
      <c r="N44">
        <v>1046.5220926892259</v>
      </c>
      <c r="O44">
        <v>1270.934111587434</v>
      </c>
      <c r="P44">
        <v>1424.790194853965</v>
      </c>
      <c r="Q44">
        <v>1463.107946131217</v>
      </c>
      <c r="R44">
        <v>1463.107946131217</v>
      </c>
      <c r="S44">
        <v>1385.739323007846</v>
      </c>
      <c r="T44">
        <v>1385.739323007846</v>
      </c>
      <c r="U44">
        <v>1212.158920507851</v>
      </c>
      <c r="V44">
        <v>1212.158920507851</v>
      </c>
      <c r="W44">
        <v>1212.158920507851</v>
      </c>
      <c r="X44">
        <v>1212.158920507851</v>
      </c>
      <c r="Y44">
        <v>902.28724503250646</v>
      </c>
    </row>
    <row r="45" spans="1:25" x14ac:dyDescent="0.35">
      <c r="A45" s="1" t="s">
        <v>65</v>
      </c>
      <c r="B45">
        <v>427.95943356483809</v>
      </c>
      <c r="C45">
        <v>333.77406078417829</v>
      </c>
      <c r="D45">
        <v>265.10730762339438</v>
      </c>
      <c r="E45">
        <v>186.13750911840609</v>
      </c>
      <c r="F45">
        <v>119.8706076457585</v>
      </c>
      <c r="G45">
        <v>61.651145265768292</v>
      </c>
      <c r="H45">
        <v>30.903358254136339</v>
      </c>
      <c r="I45">
        <v>29.262158922624351</v>
      </c>
      <c r="J45">
        <v>51.089760834002249</v>
      </c>
      <c r="K45">
        <v>185.4407422694122</v>
      </c>
      <c r="L45">
        <v>467.26614961833769</v>
      </c>
      <c r="M45">
        <v>467.26614961833769</v>
      </c>
      <c r="N45">
        <v>829.38536628581403</v>
      </c>
      <c r="O45">
        <v>1134.968883761693</v>
      </c>
      <c r="P45">
        <v>1363.223529577474</v>
      </c>
      <c r="Q45">
        <v>1463.107946131217</v>
      </c>
      <c r="R45">
        <v>1457.3372562404429</v>
      </c>
      <c r="S45">
        <v>1368.7143102261659</v>
      </c>
      <c r="T45">
        <v>1247.777680451346</v>
      </c>
      <c r="U45">
        <v>1099.8377520130009</v>
      </c>
      <c r="V45">
        <v>944.95330028172543</v>
      </c>
      <c r="W45">
        <v>770.98360005399115</v>
      </c>
      <c r="X45">
        <v>643.39975634892562</v>
      </c>
      <c r="Y45">
        <v>515.90711408443883</v>
      </c>
    </row>
    <row r="46" spans="1:25" x14ac:dyDescent="0.35">
      <c r="A46" s="1" t="s">
        <v>66</v>
      </c>
      <c r="B46">
        <v>99.870863649147196</v>
      </c>
      <c r="C46">
        <v>99.870863649147196</v>
      </c>
      <c r="D46">
        <v>99.870863649147196</v>
      </c>
      <c r="E46">
        <v>99.870863649147196</v>
      </c>
      <c r="F46">
        <v>99.870863649147196</v>
      </c>
      <c r="G46">
        <v>99.870863649147196</v>
      </c>
      <c r="H46">
        <v>99.870863649147196</v>
      </c>
      <c r="I46">
        <v>29.262158922624351</v>
      </c>
      <c r="J46">
        <v>29.664540250787471</v>
      </c>
      <c r="K46">
        <v>109.5534242452007</v>
      </c>
      <c r="L46">
        <v>245.30951838949181</v>
      </c>
      <c r="M46">
        <v>394.55790575200962</v>
      </c>
      <c r="N46">
        <v>547.56272108525081</v>
      </c>
      <c r="O46">
        <v>678.87668417149041</v>
      </c>
      <c r="P46">
        <v>779.07205453617496</v>
      </c>
      <c r="Q46">
        <v>789.2101266344024</v>
      </c>
      <c r="R46">
        <v>789.2101266344024</v>
      </c>
      <c r="S46">
        <v>789.2101266344024</v>
      </c>
      <c r="T46">
        <v>771.68402593167298</v>
      </c>
      <c r="U46">
        <v>771.68402593167298</v>
      </c>
      <c r="V46">
        <v>597.26719422625342</v>
      </c>
      <c r="W46">
        <v>388.11768068976011</v>
      </c>
      <c r="X46">
        <v>240.39578629221</v>
      </c>
      <c r="Y46">
        <v>99.870863649147196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169.0966151720738</v>
      </c>
      <c r="K2">
        <v>324.14541257116468</v>
      </c>
      <c r="L2">
        <v>417.66121455045038</v>
      </c>
      <c r="M2">
        <v>449.51353349283249</v>
      </c>
      <c r="N2">
        <v>437.34692441198422</v>
      </c>
      <c r="O2">
        <v>380.80018126274541</v>
      </c>
      <c r="P2">
        <v>321.79870817148259</v>
      </c>
      <c r="Q2">
        <v>212.31499065990471</v>
      </c>
      <c r="R2">
        <v>65.716419872982428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10.12574714858493</v>
      </c>
      <c r="J3">
        <v>126.09103534040879</v>
      </c>
      <c r="K3">
        <v>264.4652370125786</v>
      </c>
      <c r="L3">
        <v>138.55437977987421</v>
      </c>
      <c r="M3">
        <v>383.14832279967737</v>
      </c>
      <c r="N3">
        <v>372.35600096099228</v>
      </c>
      <c r="O3">
        <v>383.61053332210349</v>
      </c>
      <c r="P3">
        <v>168.53143353817811</v>
      </c>
      <c r="Q3">
        <v>210.0772877358491</v>
      </c>
      <c r="R3">
        <v>45.52166981132082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33.636241322723329</v>
      </c>
      <c r="K4">
        <v>106.7437663446525</v>
      </c>
      <c r="L4">
        <v>162.4747015415544</v>
      </c>
      <c r="M4">
        <v>178.50966090944561</v>
      </c>
      <c r="N4">
        <v>171.81771684446181</v>
      </c>
      <c r="O4">
        <v>163.04166636588249</v>
      </c>
      <c r="P4">
        <v>135.0065633140411</v>
      </c>
      <c r="Q4">
        <v>65.342958377751458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169.0966151720738</v>
      </c>
      <c r="K5">
        <v>324.14541257116468</v>
      </c>
      <c r="L5">
        <v>417.66121455045038</v>
      </c>
      <c r="M5">
        <v>449.51353349283249</v>
      </c>
      <c r="N5">
        <v>437.34692441198422</v>
      </c>
      <c r="O5">
        <v>380.80018126274541</v>
      </c>
      <c r="P5">
        <v>321.79870817148259</v>
      </c>
      <c r="Q5">
        <v>212.31499065990471</v>
      </c>
      <c r="R5">
        <v>65.716419872982428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10.12574714858493</v>
      </c>
      <c r="J6">
        <v>126.09103534040879</v>
      </c>
      <c r="K6">
        <v>264.4652370125786</v>
      </c>
      <c r="L6">
        <v>370.84034530345917</v>
      </c>
      <c r="M6">
        <v>241.94531105199229</v>
      </c>
      <c r="N6">
        <v>131.34171208333331</v>
      </c>
      <c r="O6">
        <v>383.61053332210349</v>
      </c>
      <c r="P6">
        <v>318.46276863993722</v>
      </c>
      <c r="Q6">
        <v>210.0772877358491</v>
      </c>
      <c r="R6">
        <v>45.52166981132082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33.636241322723329</v>
      </c>
      <c r="K7">
        <v>106.7437663446525</v>
      </c>
      <c r="L7">
        <v>162.4747015415544</v>
      </c>
      <c r="M7">
        <v>178.50966090944561</v>
      </c>
      <c r="N7">
        <v>171.81771684446181</v>
      </c>
      <c r="O7">
        <v>163.04166636588249</v>
      </c>
      <c r="P7">
        <v>135.0065633140411</v>
      </c>
      <c r="Q7">
        <v>65.342958377751458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169.0966151720738</v>
      </c>
      <c r="K8">
        <v>324.14541257116468</v>
      </c>
      <c r="L8">
        <v>417.66121455045038</v>
      </c>
      <c r="M8">
        <v>449.51353349283249</v>
      </c>
      <c r="N8">
        <v>437.34692441198422</v>
      </c>
      <c r="O8">
        <v>380.80018126274541</v>
      </c>
      <c r="P8">
        <v>321.79870817148259</v>
      </c>
      <c r="Q8">
        <v>212.31499065990471</v>
      </c>
      <c r="R8">
        <v>65.716419872982428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10.12574714858493</v>
      </c>
      <c r="J9">
        <v>126.09103534040879</v>
      </c>
      <c r="K9">
        <v>137.84143897435899</v>
      </c>
      <c r="L9">
        <v>138.55437977987421</v>
      </c>
      <c r="M9">
        <v>359.84078573613778</v>
      </c>
      <c r="N9">
        <v>372.35600096099228</v>
      </c>
      <c r="O9">
        <v>383.61053332210349</v>
      </c>
      <c r="P9">
        <v>318.46276863993722</v>
      </c>
      <c r="Q9">
        <v>210.0772877358491</v>
      </c>
      <c r="R9">
        <v>45.52166981132082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33.636241322723329</v>
      </c>
      <c r="K10">
        <v>106.7437663446525</v>
      </c>
      <c r="L10">
        <v>162.4747015415544</v>
      </c>
      <c r="M10">
        <v>178.50966090944561</v>
      </c>
      <c r="N10">
        <v>171.81771684446181</v>
      </c>
      <c r="O10">
        <v>163.04166636588249</v>
      </c>
      <c r="P10">
        <v>135.0065633140411</v>
      </c>
      <c r="Q10">
        <v>65.342958377751458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169.0966151720738</v>
      </c>
      <c r="K11">
        <v>324.14541257116468</v>
      </c>
      <c r="L11">
        <v>417.66121455045038</v>
      </c>
      <c r="M11">
        <v>449.51353349283249</v>
      </c>
      <c r="N11">
        <v>437.34692441198422</v>
      </c>
      <c r="O11">
        <v>380.80018126274541</v>
      </c>
      <c r="P11">
        <v>321.79870817148259</v>
      </c>
      <c r="Q11">
        <v>212.31499065990471</v>
      </c>
      <c r="R11">
        <v>65.716419872982428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10.12574714858493</v>
      </c>
      <c r="J12">
        <v>126.09103534040879</v>
      </c>
      <c r="K12">
        <v>98.881710314966824</v>
      </c>
      <c r="L12">
        <v>210.93390821090159</v>
      </c>
      <c r="M12">
        <v>465.70506374999991</v>
      </c>
      <c r="N12">
        <v>479.34237434355362</v>
      </c>
      <c r="O12">
        <v>393.86231927672952</v>
      </c>
      <c r="P12">
        <v>318.46276863993722</v>
      </c>
      <c r="Q12">
        <v>210.0772877358491</v>
      </c>
      <c r="R12">
        <v>45.52166981132082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33.636241322723329</v>
      </c>
      <c r="K13">
        <v>106.7437663446525</v>
      </c>
      <c r="L13">
        <v>162.4747015415544</v>
      </c>
      <c r="M13">
        <v>178.50966090944561</v>
      </c>
      <c r="N13">
        <v>171.81771684446181</v>
      </c>
      <c r="O13">
        <v>163.04166636588249</v>
      </c>
      <c r="P13">
        <v>135.0065633140411</v>
      </c>
      <c r="Q13">
        <v>65.342958377751458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169.0966151720738</v>
      </c>
      <c r="K14">
        <v>324.14541257116468</v>
      </c>
      <c r="L14">
        <v>417.66121455045038</v>
      </c>
      <c r="M14">
        <v>449.51353349283249</v>
      </c>
      <c r="N14">
        <v>437.34692441198422</v>
      </c>
      <c r="O14">
        <v>380.80018126274541</v>
      </c>
      <c r="P14">
        <v>321.79870817148259</v>
      </c>
      <c r="Q14">
        <v>212.31499065990471</v>
      </c>
      <c r="R14">
        <v>65.716419872982428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10.12574714858493</v>
      </c>
      <c r="J15">
        <v>126.09103534040879</v>
      </c>
      <c r="K15">
        <v>264.4652370125786</v>
      </c>
      <c r="L15">
        <v>370.84034530345917</v>
      </c>
      <c r="M15">
        <v>465.70506374999991</v>
      </c>
      <c r="N15">
        <v>479.34237434355362</v>
      </c>
      <c r="O15">
        <v>283.8119091687156</v>
      </c>
      <c r="P15">
        <v>318.46276863993722</v>
      </c>
      <c r="Q15">
        <v>210.0772877358491</v>
      </c>
      <c r="R15">
        <v>45.52166981132082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33.636241322723329</v>
      </c>
      <c r="K16">
        <v>106.7437663446525</v>
      </c>
      <c r="L16">
        <v>162.4747015415544</v>
      </c>
      <c r="M16">
        <v>178.50966090944561</v>
      </c>
      <c r="N16">
        <v>171.81771684446181</v>
      </c>
      <c r="O16">
        <v>163.04166636588249</v>
      </c>
      <c r="P16">
        <v>135.0065633140411</v>
      </c>
      <c r="Q16">
        <v>65.342958377751458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169.0966151720738</v>
      </c>
      <c r="K17">
        <v>324.14541257116468</v>
      </c>
      <c r="L17">
        <v>417.66121455045038</v>
      </c>
      <c r="M17">
        <v>449.51353349283249</v>
      </c>
      <c r="N17">
        <v>437.34692441198422</v>
      </c>
      <c r="O17">
        <v>380.80018126274541</v>
      </c>
      <c r="P17">
        <v>321.79870817148259</v>
      </c>
      <c r="Q17">
        <v>212.31499065990471</v>
      </c>
      <c r="R17">
        <v>65.716419872982428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10.12574714858493</v>
      </c>
      <c r="J18">
        <v>126.09103534040879</v>
      </c>
      <c r="K18">
        <v>264.4652370125786</v>
      </c>
      <c r="L18">
        <v>370.84034530345917</v>
      </c>
      <c r="M18">
        <v>465.70506374999991</v>
      </c>
      <c r="N18">
        <v>479.34237434355362</v>
      </c>
      <c r="O18">
        <v>393.86231927672952</v>
      </c>
      <c r="P18">
        <v>318.46276863993722</v>
      </c>
      <c r="Q18">
        <v>210.0772877358491</v>
      </c>
      <c r="R18">
        <v>45.52166981132082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33.636241322723329</v>
      </c>
      <c r="K19">
        <v>106.7437663446525</v>
      </c>
      <c r="L19">
        <v>162.4747015415544</v>
      </c>
      <c r="M19">
        <v>178.50966090944561</v>
      </c>
      <c r="N19">
        <v>171.81771684446181</v>
      </c>
      <c r="O19">
        <v>163.04166636588249</v>
      </c>
      <c r="P19">
        <v>135.0065633140411</v>
      </c>
      <c r="Q19">
        <v>65.342958377751458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169.0966151720738</v>
      </c>
      <c r="K20">
        <v>324.14541257116468</v>
      </c>
      <c r="L20">
        <v>417.66121455045038</v>
      </c>
      <c r="M20">
        <v>449.51353349283249</v>
      </c>
      <c r="N20">
        <v>437.34692441198422</v>
      </c>
      <c r="O20">
        <v>380.80018126274541</v>
      </c>
      <c r="P20">
        <v>321.79870817148259</v>
      </c>
      <c r="Q20">
        <v>212.31499065990471</v>
      </c>
      <c r="R20">
        <v>65.716419872982428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10.12574714858493</v>
      </c>
      <c r="J21">
        <v>126.09103534040879</v>
      </c>
      <c r="K21">
        <v>264.4652370125786</v>
      </c>
      <c r="L21">
        <v>370.84034530345917</v>
      </c>
      <c r="M21">
        <v>465.70506374999991</v>
      </c>
      <c r="N21">
        <v>479.34237434355362</v>
      </c>
      <c r="O21">
        <v>393.86231927672952</v>
      </c>
      <c r="P21">
        <v>318.46276863993722</v>
      </c>
      <c r="Q21">
        <v>210.0772877358491</v>
      </c>
      <c r="R21">
        <v>45.52166981132082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33.636241322723329</v>
      </c>
      <c r="K22">
        <v>106.7437663446525</v>
      </c>
      <c r="L22">
        <v>162.4747015415544</v>
      </c>
      <c r="M22">
        <v>178.50966090944561</v>
      </c>
      <c r="N22">
        <v>171.81771684446181</v>
      </c>
      <c r="O22">
        <v>163.04166636588249</v>
      </c>
      <c r="P22">
        <v>135.0065633140411</v>
      </c>
      <c r="Q22">
        <v>65.342958377751458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169.0966151720738</v>
      </c>
      <c r="K23">
        <v>324.14541257116468</v>
      </c>
      <c r="L23">
        <v>417.66121455045038</v>
      </c>
      <c r="M23">
        <v>449.51353349283249</v>
      </c>
      <c r="N23">
        <v>437.34692441198422</v>
      </c>
      <c r="O23">
        <v>380.80018126274541</v>
      </c>
      <c r="P23">
        <v>321.79870817148259</v>
      </c>
      <c r="Q23">
        <v>212.31499065990471</v>
      </c>
      <c r="R23">
        <v>65.716419872982428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10.12574714858493</v>
      </c>
      <c r="J24">
        <v>126.09103534040879</v>
      </c>
      <c r="K24">
        <v>264.4652370125786</v>
      </c>
      <c r="L24">
        <v>370.84034530345917</v>
      </c>
      <c r="M24">
        <v>465.70506374999991</v>
      </c>
      <c r="N24">
        <v>479.34237434355362</v>
      </c>
      <c r="O24">
        <v>393.86231927672952</v>
      </c>
      <c r="P24">
        <v>318.46276863993722</v>
      </c>
      <c r="Q24">
        <v>210.0772877358491</v>
      </c>
      <c r="R24">
        <v>45.52166981132082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33.636241322723329</v>
      </c>
      <c r="K25">
        <v>106.7437663446525</v>
      </c>
      <c r="L25">
        <v>162.4747015415544</v>
      </c>
      <c r="M25">
        <v>178.50966090944561</v>
      </c>
      <c r="N25">
        <v>171.81771684446181</v>
      </c>
      <c r="O25">
        <v>163.04166636588249</v>
      </c>
      <c r="P25">
        <v>135.0065633140411</v>
      </c>
      <c r="Q25">
        <v>65.342958377751458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169.0966151720738</v>
      </c>
      <c r="K26">
        <v>324.14541257116468</v>
      </c>
      <c r="L26">
        <v>417.66121455045038</v>
      </c>
      <c r="M26">
        <v>449.51353349283249</v>
      </c>
      <c r="N26">
        <v>437.34692441198422</v>
      </c>
      <c r="O26">
        <v>380.80018126274541</v>
      </c>
      <c r="P26">
        <v>321.79870817148259</v>
      </c>
      <c r="Q26">
        <v>212.31499065990471</v>
      </c>
      <c r="R26">
        <v>65.716419872982428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10.12574714858493</v>
      </c>
      <c r="J27">
        <v>126.09103534040879</v>
      </c>
      <c r="K27">
        <v>264.4652370125786</v>
      </c>
      <c r="L27">
        <v>370.84034530345917</v>
      </c>
      <c r="M27">
        <v>465.70506374999991</v>
      </c>
      <c r="N27">
        <v>479.34237434355362</v>
      </c>
      <c r="O27">
        <v>393.86231927672952</v>
      </c>
      <c r="P27">
        <v>318.46276863993722</v>
      </c>
      <c r="Q27">
        <v>210.0772877358491</v>
      </c>
      <c r="R27">
        <v>45.52166981132082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33.636241322723329</v>
      </c>
      <c r="K28">
        <v>106.7437663446525</v>
      </c>
      <c r="L28">
        <v>162.4747015415544</v>
      </c>
      <c r="M28">
        <v>178.50966090944561</v>
      </c>
      <c r="N28">
        <v>171.81771684446181</v>
      </c>
      <c r="O28">
        <v>163.04166636588249</v>
      </c>
      <c r="P28">
        <v>135.0065633140411</v>
      </c>
      <c r="Q28">
        <v>65.342958377751458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169.0966151720738</v>
      </c>
      <c r="K29">
        <v>324.14541257116468</v>
      </c>
      <c r="L29">
        <v>417.66121455045038</v>
      </c>
      <c r="M29">
        <v>449.51353349283249</v>
      </c>
      <c r="N29">
        <v>437.34692441198422</v>
      </c>
      <c r="O29">
        <v>380.80018126274541</v>
      </c>
      <c r="P29">
        <v>321.79870817148259</v>
      </c>
      <c r="Q29">
        <v>212.31499065990471</v>
      </c>
      <c r="R29">
        <v>65.716419872982428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10.12574714858493</v>
      </c>
      <c r="J30">
        <v>126.09103534040879</v>
      </c>
      <c r="K30">
        <v>264.4652370125786</v>
      </c>
      <c r="L30">
        <v>370.84034530345917</v>
      </c>
      <c r="M30">
        <v>465.70506374999991</v>
      </c>
      <c r="N30">
        <v>479.34237434355362</v>
      </c>
      <c r="O30">
        <v>393.86231927672952</v>
      </c>
      <c r="P30">
        <v>318.46276863993722</v>
      </c>
      <c r="Q30">
        <v>210.0772877358491</v>
      </c>
      <c r="R30">
        <v>45.52166981132082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33.636241322723329</v>
      </c>
      <c r="K31">
        <v>106.7437663446525</v>
      </c>
      <c r="L31">
        <v>162.4747015415544</v>
      </c>
      <c r="M31">
        <v>178.50966090944561</v>
      </c>
      <c r="N31">
        <v>171.81771684446181</v>
      </c>
      <c r="O31">
        <v>163.04166636588249</v>
      </c>
      <c r="P31">
        <v>135.0065633140411</v>
      </c>
      <c r="Q31">
        <v>65.342958377751458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169.0966151720738</v>
      </c>
      <c r="K32">
        <v>324.14541257116468</v>
      </c>
      <c r="L32">
        <v>417.66121455045038</v>
      </c>
      <c r="M32">
        <v>449.51353349283249</v>
      </c>
      <c r="N32">
        <v>437.34692441198422</v>
      </c>
      <c r="O32">
        <v>380.80018126274541</v>
      </c>
      <c r="P32">
        <v>321.79870817148259</v>
      </c>
      <c r="Q32">
        <v>212.31499065990471</v>
      </c>
      <c r="R32">
        <v>65.716419872982428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10.12574714858493</v>
      </c>
      <c r="J33">
        <v>126.09103534040879</v>
      </c>
      <c r="K33">
        <v>264.4652370125786</v>
      </c>
      <c r="L33">
        <v>370.84034530345917</v>
      </c>
      <c r="M33">
        <v>465.70506374999991</v>
      </c>
      <c r="N33">
        <v>479.34237434355362</v>
      </c>
      <c r="O33">
        <v>393.86231927672952</v>
      </c>
      <c r="P33">
        <v>318.46276863993722</v>
      </c>
      <c r="Q33">
        <v>210.0772877358491</v>
      </c>
      <c r="R33">
        <v>45.52166981132082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33.636241322723329</v>
      </c>
      <c r="K34">
        <v>106.7437663446525</v>
      </c>
      <c r="L34">
        <v>162.4747015415544</v>
      </c>
      <c r="M34">
        <v>178.50966090944561</v>
      </c>
      <c r="N34">
        <v>171.81771684446181</v>
      </c>
      <c r="O34">
        <v>163.04166636588249</v>
      </c>
      <c r="P34">
        <v>135.0065633140411</v>
      </c>
      <c r="Q34">
        <v>65.342958377751458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169.0966151720738</v>
      </c>
      <c r="K35">
        <v>324.14541257116468</v>
      </c>
      <c r="L35">
        <v>417.66121455045038</v>
      </c>
      <c r="M35">
        <v>449.51353349283249</v>
      </c>
      <c r="N35">
        <v>437.34692441198422</v>
      </c>
      <c r="O35">
        <v>380.80018126274541</v>
      </c>
      <c r="P35">
        <v>321.79870817148259</v>
      </c>
      <c r="Q35">
        <v>212.31499065990471</v>
      </c>
      <c r="R35">
        <v>65.716419872982428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10.12574714858493</v>
      </c>
      <c r="J36">
        <v>126.09103534040879</v>
      </c>
      <c r="K36">
        <v>264.4652370125786</v>
      </c>
      <c r="L36">
        <v>370.84034530345917</v>
      </c>
      <c r="M36">
        <v>465.70506374999991</v>
      </c>
      <c r="N36">
        <v>479.34237434355362</v>
      </c>
      <c r="O36">
        <v>393.86231927672952</v>
      </c>
      <c r="P36">
        <v>318.46276863993722</v>
      </c>
      <c r="Q36">
        <v>210.0772877358491</v>
      </c>
      <c r="R36">
        <v>45.52166981132082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33.636241322723329</v>
      </c>
      <c r="K37">
        <v>106.7437663446525</v>
      </c>
      <c r="L37">
        <v>162.4747015415544</v>
      </c>
      <c r="M37">
        <v>178.50966090944561</v>
      </c>
      <c r="N37">
        <v>171.81771684446181</v>
      </c>
      <c r="O37">
        <v>163.04166636588249</v>
      </c>
      <c r="P37">
        <v>135.0065633140411</v>
      </c>
      <c r="Q37">
        <v>65.342958377751458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169.0966151720738</v>
      </c>
      <c r="K38">
        <v>324.14541257116468</v>
      </c>
      <c r="L38">
        <v>417.66121455045038</v>
      </c>
      <c r="M38">
        <v>449.51353349283249</v>
      </c>
      <c r="N38">
        <v>437.34692441198422</v>
      </c>
      <c r="O38">
        <v>380.80018126274541</v>
      </c>
      <c r="P38">
        <v>321.79870817148259</v>
      </c>
      <c r="Q38">
        <v>212.31499065990471</v>
      </c>
      <c r="R38">
        <v>65.716419872982428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10.12574714858493</v>
      </c>
      <c r="J39">
        <v>126.09103534040879</v>
      </c>
      <c r="K39">
        <v>264.4652370125786</v>
      </c>
      <c r="L39">
        <v>370.84034530345917</v>
      </c>
      <c r="M39">
        <v>465.70506374999991</v>
      </c>
      <c r="N39">
        <v>479.34237434355362</v>
      </c>
      <c r="O39">
        <v>393.86231927672952</v>
      </c>
      <c r="P39">
        <v>318.46276863993688</v>
      </c>
      <c r="Q39">
        <v>210.0772877358491</v>
      </c>
      <c r="R39">
        <v>45.52166981132082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33.636241322723329</v>
      </c>
      <c r="K40">
        <v>106.7437663446525</v>
      </c>
      <c r="L40">
        <v>162.4747015415544</v>
      </c>
      <c r="M40">
        <v>178.50966090944561</v>
      </c>
      <c r="N40">
        <v>171.81771684446181</v>
      </c>
      <c r="O40">
        <v>163.04166636588249</v>
      </c>
      <c r="P40">
        <v>135.0065633140411</v>
      </c>
      <c r="Q40">
        <v>65.342958377751458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169.0966151720738</v>
      </c>
      <c r="K41">
        <v>324.14541257116468</v>
      </c>
      <c r="L41">
        <v>417.66121455045038</v>
      </c>
      <c r="M41">
        <v>449.51353349283249</v>
      </c>
      <c r="N41">
        <v>437.34692441198422</v>
      </c>
      <c r="O41">
        <v>380.80018126274541</v>
      </c>
      <c r="P41">
        <v>321.79870817148259</v>
      </c>
      <c r="Q41">
        <v>212.31499065990471</v>
      </c>
      <c r="R41">
        <v>65.716419872982428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10.12574714858493</v>
      </c>
      <c r="J42">
        <v>126.09103534040879</v>
      </c>
      <c r="K42">
        <v>264.4652370125786</v>
      </c>
      <c r="L42">
        <v>370.84034530345917</v>
      </c>
      <c r="M42">
        <v>465.70506374999991</v>
      </c>
      <c r="N42">
        <v>202.3595974959772</v>
      </c>
      <c r="O42">
        <v>393.86231927672952</v>
      </c>
      <c r="P42">
        <v>318.46276863993722</v>
      </c>
      <c r="Q42">
        <v>109.18393768156299</v>
      </c>
      <c r="R42">
        <v>45.52166981132082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33.636241322723329</v>
      </c>
      <c r="K43">
        <v>106.7437663446525</v>
      </c>
      <c r="L43">
        <v>162.4747015415544</v>
      </c>
      <c r="M43">
        <v>178.50966090944561</v>
      </c>
      <c r="N43">
        <v>171.81771684446181</v>
      </c>
      <c r="O43">
        <v>163.04166636588249</v>
      </c>
      <c r="P43">
        <v>135.0065633140411</v>
      </c>
      <c r="Q43">
        <v>65.342958377751458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169.0966151720738</v>
      </c>
      <c r="K44">
        <v>324.14541257116468</v>
      </c>
      <c r="L44">
        <v>417.66121455045038</v>
      </c>
      <c r="M44">
        <v>449.51353349283249</v>
      </c>
      <c r="N44">
        <v>437.34692441198422</v>
      </c>
      <c r="O44">
        <v>380.80018126274541</v>
      </c>
      <c r="P44">
        <v>321.79870817148259</v>
      </c>
      <c r="Q44">
        <v>212.31499065990471</v>
      </c>
      <c r="R44">
        <v>65.716419872982428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10.12574714858493</v>
      </c>
      <c r="J45">
        <v>126.09103534040879</v>
      </c>
      <c r="K45">
        <v>264.4652370125786</v>
      </c>
      <c r="L45">
        <v>370.84034530345917</v>
      </c>
      <c r="M45">
        <v>142.13403392201829</v>
      </c>
      <c r="N45">
        <v>479.34237434355362</v>
      </c>
      <c r="O45">
        <v>393.86231927672952</v>
      </c>
      <c r="P45">
        <v>318.46276863993722</v>
      </c>
      <c r="Q45">
        <v>210.0772877358491</v>
      </c>
      <c r="R45">
        <v>45.52166981132082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33.636241322723329</v>
      </c>
      <c r="K46">
        <v>106.7437663446525</v>
      </c>
      <c r="L46">
        <v>162.4747015415544</v>
      </c>
      <c r="M46">
        <v>178.50966090944561</v>
      </c>
      <c r="N46">
        <v>171.81771684446181</v>
      </c>
      <c r="O46">
        <v>163.04166636588249</v>
      </c>
      <c r="P46">
        <v>135.0065633140411</v>
      </c>
      <c r="Q46">
        <v>65.342958377751458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47"/>
  <sheetViews>
    <sheetView topLeftCell="H31" workbookViewId="0">
      <selection activeCell="Z47" sqref="Z47"/>
    </sheetView>
  </sheetViews>
  <sheetFormatPr defaultRowHeight="14.5" x14ac:dyDescent="0.35"/>
  <cols>
    <col min="26" max="26" width="10.81640625" bestFit="1" customWidth="1"/>
  </cols>
  <sheetData>
    <row r="1" spans="1:2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6" x14ac:dyDescent="0.35">
      <c r="A2" s="1" t="s">
        <v>22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-181.04590452668629</v>
      </c>
      <c r="K2">
        <v>-220.08985104498049</v>
      </c>
      <c r="L2">
        <v>-235.76641496998721</v>
      </c>
      <c r="M2">
        <v>-230.34623322727271</v>
      </c>
      <c r="N2">
        <v>-229.41306359659089</v>
      </c>
      <c r="O2">
        <v>-230.0982114216867</v>
      </c>
      <c r="P2">
        <v>-231.23299575526951</v>
      </c>
      <c r="Q2">
        <v>-222.30568987444951</v>
      </c>
      <c r="R2">
        <v>-215.5855378141321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  <c r="Z2">
        <f>SUM(B2:Y2)*199</f>
        <v>-1386842.4148154764</v>
      </c>
    </row>
    <row r="3" spans="1:26" x14ac:dyDescent="0.35">
      <c r="A3" s="1" t="s">
        <v>23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-99.522379999999998</v>
      </c>
      <c r="J3">
        <v>-126.83762666666669</v>
      </c>
      <c r="K3">
        <v>-137.84143897435899</v>
      </c>
      <c r="L3">
        <v>-138.55437977987421</v>
      </c>
      <c r="M3">
        <v>-142.13403392201829</v>
      </c>
      <c r="N3">
        <v>-131.34171208333331</v>
      </c>
      <c r="O3">
        <v>-142.59624444444441</v>
      </c>
      <c r="P3">
        <v>-133.97440741433019</v>
      </c>
      <c r="Q3">
        <v>-139.98177408602149</v>
      </c>
      <c r="R3">
        <v>-145.67950396396401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  <c r="Z3">
        <f>SUM(B3:Y3)*106</f>
        <v>-410345.50791745115</v>
      </c>
    </row>
    <row r="4" spans="1:26" x14ac:dyDescent="0.35">
      <c r="A4" s="1" t="s">
        <v>24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-126.9954214393961</v>
      </c>
      <c r="K4">
        <v>-129.01325817053541</v>
      </c>
      <c r="L4">
        <v>-134.88467628123831</v>
      </c>
      <c r="M4">
        <v>-138.92578394760511</v>
      </c>
      <c r="N4">
        <v>-127.68554446523321</v>
      </c>
      <c r="O4">
        <v>-138.45653845184279</v>
      </c>
      <c r="P4">
        <v>-137.72800404914759</v>
      </c>
      <c r="Q4">
        <v>-151.50500162944579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  <c r="Z4">
        <f>SUM(B4:Y4)*60</f>
        <v>-255416.50192778069</v>
      </c>
    </row>
    <row r="5" spans="1:26" x14ac:dyDescent="0.35">
      <c r="A5" s="1" t="s">
        <v>25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-181.04590452668629</v>
      </c>
      <c r="K5">
        <v>-220.08985104498049</v>
      </c>
      <c r="L5">
        <v>-235.76641496998721</v>
      </c>
      <c r="M5">
        <v>-230.34623322727271</v>
      </c>
      <c r="N5">
        <v>-229.41306359659089</v>
      </c>
      <c r="O5">
        <v>-230.0982114216867</v>
      </c>
      <c r="P5">
        <v>-231.23299575526951</v>
      </c>
      <c r="Q5">
        <v>-222.30568987444951</v>
      </c>
      <c r="R5">
        <v>-215.5855378141321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  <c r="Z5">
        <f t="shared" ref="Z5" si="0">SUM(B5:Y5)*199</f>
        <v>-1386842.4148154764</v>
      </c>
    </row>
    <row r="6" spans="1:26" x14ac:dyDescent="0.35">
      <c r="A6" s="1" t="s">
        <v>26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-99.522379999999998</v>
      </c>
      <c r="J6">
        <v>-126.83762666666669</v>
      </c>
      <c r="K6">
        <v>-137.84143897435899</v>
      </c>
      <c r="L6">
        <v>-138.55437977987421</v>
      </c>
      <c r="M6">
        <v>-142.13403392201829</v>
      </c>
      <c r="N6">
        <v>-131.34171208333331</v>
      </c>
      <c r="O6">
        <v>-142.59624444444441</v>
      </c>
      <c r="P6">
        <v>-133.97440741433019</v>
      </c>
      <c r="Q6">
        <v>-139.98177408602149</v>
      </c>
      <c r="R6">
        <v>-145.67950396396401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  <c r="Z6">
        <f t="shared" ref="Z6" si="1">SUM(B6:Y6)*106</f>
        <v>-410345.50791745115</v>
      </c>
    </row>
    <row r="7" spans="1:26" x14ac:dyDescent="0.35">
      <c r="A7" s="1" t="s">
        <v>27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-126.9954214393961</v>
      </c>
      <c r="K7">
        <v>-129.01325817053541</v>
      </c>
      <c r="L7">
        <v>-134.88467628123831</v>
      </c>
      <c r="M7">
        <v>-138.92578394760511</v>
      </c>
      <c r="N7">
        <v>-127.68554446523321</v>
      </c>
      <c r="O7">
        <v>-138.45653845184279</v>
      </c>
      <c r="P7">
        <v>-137.72800404914759</v>
      </c>
      <c r="Q7">
        <v>-151.50500162944579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  <c r="Z7">
        <f t="shared" ref="Z7" si="2">SUM(B7:Y7)*60</f>
        <v>-255416.50192778069</v>
      </c>
    </row>
    <row r="8" spans="1:26" x14ac:dyDescent="0.35">
      <c r="A8" s="1" t="s">
        <v>28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-181.04590452668629</v>
      </c>
      <c r="K8">
        <v>-220.08985104498049</v>
      </c>
      <c r="L8">
        <v>-235.76641496998721</v>
      </c>
      <c r="M8">
        <v>-230.34623322727271</v>
      </c>
      <c r="N8">
        <v>-229.41306359659089</v>
      </c>
      <c r="O8">
        <v>-230.0982114216867</v>
      </c>
      <c r="P8">
        <v>-231.23299575526951</v>
      </c>
      <c r="Q8">
        <v>-222.30568987444951</v>
      </c>
      <c r="R8">
        <v>-215.5855378141321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  <c r="Z8">
        <f t="shared" ref="Z8" si="3">SUM(B8:Y8)*199</f>
        <v>-1386842.4148154764</v>
      </c>
    </row>
    <row r="9" spans="1:26" x14ac:dyDescent="0.35">
      <c r="A9" s="1" t="s">
        <v>29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-99.522379999999998</v>
      </c>
      <c r="J9">
        <v>-126.83762666666669</v>
      </c>
      <c r="K9">
        <v>-137.84143897435899</v>
      </c>
      <c r="L9">
        <v>-138.55437977987421</v>
      </c>
      <c r="M9">
        <v>-142.13403392201829</v>
      </c>
      <c r="N9">
        <v>-131.34171208333331</v>
      </c>
      <c r="O9">
        <v>-142.59624444444441</v>
      </c>
      <c r="P9">
        <v>-133.97440741433019</v>
      </c>
      <c r="Q9">
        <v>-139.98177408602149</v>
      </c>
      <c r="R9">
        <v>-145.67950396396401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  <c r="Z9">
        <f t="shared" ref="Z9" si="4">SUM(B9:Y9)*106</f>
        <v>-410345.50791745115</v>
      </c>
    </row>
    <row r="10" spans="1:26" x14ac:dyDescent="0.35">
      <c r="A10" s="1" t="s">
        <v>30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-126.9954214393961</v>
      </c>
      <c r="K10">
        <v>-129.01325817053541</v>
      </c>
      <c r="L10">
        <v>-134.88467628123831</v>
      </c>
      <c r="M10">
        <v>-138.92578394760511</v>
      </c>
      <c r="N10">
        <v>-127.68554446523321</v>
      </c>
      <c r="O10">
        <v>-138.45653845184279</v>
      </c>
      <c r="P10">
        <v>-137.72800404914759</v>
      </c>
      <c r="Q10">
        <v>-151.50500162944579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  <c r="Z10">
        <f t="shared" ref="Z10" si="5">SUM(B10:Y10)*60</f>
        <v>-255416.50192778069</v>
      </c>
    </row>
    <row r="11" spans="1:26" x14ac:dyDescent="0.35">
      <c r="A11" s="1" t="s">
        <v>31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-181.04590452668629</v>
      </c>
      <c r="K11">
        <v>-220.08985104498049</v>
      </c>
      <c r="L11">
        <v>-235.76641496998721</v>
      </c>
      <c r="M11">
        <v>-230.34623322727271</v>
      </c>
      <c r="N11">
        <v>-229.41306359659089</v>
      </c>
      <c r="O11">
        <v>-230.0982114216867</v>
      </c>
      <c r="P11">
        <v>-231.23299575526951</v>
      </c>
      <c r="Q11">
        <v>-222.30568987444951</v>
      </c>
      <c r="R11">
        <v>-215.5855378141321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  <c r="Z11">
        <f t="shared" ref="Z11" si="6">SUM(B11:Y11)*199</f>
        <v>-1386842.4148154764</v>
      </c>
    </row>
    <row r="12" spans="1:26" x14ac:dyDescent="0.35">
      <c r="A12" s="1" t="s">
        <v>32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-99.522379999999998</v>
      </c>
      <c r="J12">
        <v>-126.83762666666669</v>
      </c>
      <c r="K12">
        <v>-137.84143897435899</v>
      </c>
      <c r="L12">
        <v>-138.55437977987421</v>
      </c>
      <c r="M12">
        <v>-142.13403392201829</v>
      </c>
      <c r="N12">
        <v>-131.34171208333331</v>
      </c>
      <c r="O12">
        <v>-142.59624444444441</v>
      </c>
      <c r="P12">
        <v>-133.97440741433019</v>
      </c>
      <c r="Q12">
        <v>-139.98177408602149</v>
      </c>
      <c r="R12">
        <v>-145.67950396396401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  <c r="Z12">
        <f t="shared" ref="Z12" si="7">SUM(B12:Y12)*106</f>
        <v>-410345.50791745115</v>
      </c>
    </row>
    <row r="13" spans="1:26" x14ac:dyDescent="0.35">
      <c r="A13" s="1" t="s">
        <v>33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-126.9954214393961</v>
      </c>
      <c r="K13">
        <v>-129.01325817053541</v>
      </c>
      <c r="L13">
        <v>-134.88467628123831</v>
      </c>
      <c r="M13">
        <v>-138.92578394760511</v>
      </c>
      <c r="N13">
        <v>-127.68554446523321</v>
      </c>
      <c r="O13">
        <v>-138.45653845184279</v>
      </c>
      <c r="P13">
        <v>-137.72800404914759</v>
      </c>
      <c r="Q13">
        <v>-151.50500162944579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  <c r="Z13">
        <f t="shared" ref="Z13" si="8">SUM(B13:Y13)*60</f>
        <v>-255416.50192778069</v>
      </c>
    </row>
    <row r="14" spans="1:26" x14ac:dyDescent="0.35">
      <c r="A14" s="1" t="s">
        <v>34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-181.04590452668629</v>
      </c>
      <c r="K14">
        <v>-220.08985104498049</v>
      </c>
      <c r="L14">
        <v>-235.76641496998721</v>
      </c>
      <c r="M14">
        <v>-230.34623322727271</v>
      </c>
      <c r="N14">
        <v>-229.41306359659089</v>
      </c>
      <c r="O14">
        <v>-230.0982114216867</v>
      </c>
      <c r="P14">
        <v>-231.23299575526951</v>
      </c>
      <c r="Q14">
        <v>-222.30568987444951</v>
      </c>
      <c r="R14">
        <v>-215.5855378141321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  <c r="Z14">
        <f t="shared" ref="Z14" si="9">SUM(B14:Y14)*199</f>
        <v>-1386842.4148154764</v>
      </c>
    </row>
    <row r="15" spans="1:26" x14ac:dyDescent="0.35">
      <c r="A15" s="1" t="s">
        <v>35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-99.522379999999998</v>
      </c>
      <c r="J15">
        <v>-126.83762666666669</v>
      </c>
      <c r="K15">
        <v>-137.84143897435899</v>
      </c>
      <c r="L15">
        <v>-138.55437977987421</v>
      </c>
      <c r="M15">
        <v>-142.13403392201829</v>
      </c>
      <c r="N15">
        <v>-131.34171208333331</v>
      </c>
      <c r="O15">
        <v>-142.59624444444441</v>
      </c>
      <c r="P15">
        <v>-133.97440741433019</v>
      </c>
      <c r="Q15">
        <v>-139.98177408602149</v>
      </c>
      <c r="R15">
        <v>-145.67950396396401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  <c r="Z15">
        <f t="shared" ref="Z15" si="10">SUM(B15:Y15)*106</f>
        <v>-410345.50791745115</v>
      </c>
    </row>
    <row r="16" spans="1:26" x14ac:dyDescent="0.35">
      <c r="A16" s="1" t="s">
        <v>36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-126.9954214393961</v>
      </c>
      <c r="K16">
        <v>-129.01325817053541</v>
      </c>
      <c r="L16">
        <v>-134.88467628123831</v>
      </c>
      <c r="M16">
        <v>-138.92578394760511</v>
      </c>
      <c r="N16">
        <v>-127.68554446523321</v>
      </c>
      <c r="O16">
        <v>-138.45653845184279</v>
      </c>
      <c r="P16">
        <v>-137.72800404914759</v>
      </c>
      <c r="Q16">
        <v>-151.50500162944579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  <c r="Z16">
        <f t="shared" ref="Z16" si="11">SUM(B16:Y16)*60</f>
        <v>-255416.50192778069</v>
      </c>
    </row>
    <row r="17" spans="1:26" x14ac:dyDescent="0.35">
      <c r="A17" s="1" t="s">
        <v>37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-181.04590452668629</v>
      </c>
      <c r="K17">
        <v>-220.08985104498049</v>
      </c>
      <c r="L17">
        <v>-235.76641496998721</v>
      </c>
      <c r="M17">
        <v>-230.34623322727271</v>
      </c>
      <c r="N17">
        <v>-229.41306359659089</v>
      </c>
      <c r="O17">
        <v>-230.0982114216867</v>
      </c>
      <c r="P17">
        <v>-231.23299575526951</v>
      </c>
      <c r="Q17">
        <v>-222.30568987444951</v>
      </c>
      <c r="R17">
        <v>-215.5855378141321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  <c r="Z17">
        <f t="shared" ref="Z17" si="12">SUM(B17:Y17)*199</f>
        <v>-1386842.4148154764</v>
      </c>
    </row>
    <row r="18" spans="1:26" x14ac:dyDescent="0.35">
      <c r="A18" s="1" t="s">
        <v>38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-99.522379999999998</v>
      </c>
      <c r="J18">
        <v>-126.83762666666669</v>
      </c>
      <c r="K18">
        <v>-137.84143897435899</v>
      </c>
      <c r="L18">
        <v>-138.55437977987421</v>
      </c>
      <c r="M18">
        <v>-142.13403392201829</v>
      </c>
      <c r="N18">
        <v>-131.34171208333331</v>
      </c>
      <c r="O18">
        <v>-142.59624444444441</v>
      </c>
      <c r="P18">
        <v>-133.97440741433019</v>
      </c>
      <c r="Q18">
        <v>-139.98177408602149</v>
      </c>
      <c r="R18">
        <v>-145.67950396396401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  <c r="Z18">
        <f t="shared" ref="Z18" si="13">SUM(B18:Y18)*106</f>
        <v>-410345.50791745115</v>
      </c>
    </row>
    <row r="19" spans="1:26" x14ac:dyDescent="0.35">
      <c r="A19" s="1" t="s">
        <v>39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-126.9954214393961</v>
      </c>
      <c r="K19">
        <v>-129.01325817053541</v>
      </c>
      <c r="L19">
        <v>-134.88467628123831</v>
      </c>
      <c r="M19">
        <v>-138.92578394760511</v>
      </c>
      <c r="N19">
        <v>-127.68554446523321</v>
      </c>
      <c r="O19">
        <v>-138.45653845184279</v>
      </c>
      <c r="P19">
        <v>-137.72800404914759</v>
      </c>
      <c r="Q19">
        <v>-151.50500162944579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  <c r="Z19">
        <f t="shared" ref="Z19" si="14">SUM(B19:Y19)*60</f>
        <v>-255416.50192778069</v>
      </c>
    </row>
    <row r="20" spans="1:26" x14ac:dyDescent="0.35">
      <c r="A20" s="1" t="s">
        <v>40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-181.04590452668629</v>
      </c>
      <c r="K20">
        <v>-220.08985104498049</v>
      </c>
      <c r="L20">
        <v>-235.76641496998721</v>
      </c>
      <c r="M20">
        <v>-230.34623322727271</v>
      </c>
      <c r="N20">
        <v>-229.41306359659089</v>
      </c>
      <c r="O20">
        <v>-230.0982114216867</v>
      </c>
      <c r="P20">
        <v>-231.23299575526951</v>
      </c>
      <c r="Q20">
        <v>-222.30568987444951</v>
      </c>
      <c r="R20">
        <v>-215.5855378141321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  <c r="Z20">
        <f t="shared" ref="Z20" si="15">SUM(B20:Y20)*199</f>
        <v>-1386842.4148154764</v>
      </c>
    </row>
    <row r="21" spans="1:26" x14ac:dyDescent="0.35">
      <c r="A21" s="1" t="s">
        <v>41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-99.522379999999998</v>
      </c>
      <c r="J21">
        <v>-126.83762666666669</v>
      </c>
      <c r="K21">
        <v>-137.84143897435899</v>
      </c>
      <c r="L21">
        <v>-138.55437977987421</v>
      </c>
      <c r="M21">
        <v>-142.13403392201829</v>
      </c>
      <c r="N21">
        <v>-131.34171208333331</v>
      </c>
      <c r="O21">
        <v>-142.59624444444441</v>
      </c>
      <c r="P21">
        <v>-133.97440741433019</v>
      </c>
      <c r="Q21">
        <v>-139.98177408602149</v>
      </c>
      <c r="R21">
        <v>-145.67950396396401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  <c r="Z21">
        <f t="shared" ref="Z21" si="16">SUM(B21:Y21)*106</f>
        <v>-410345.50791745115</v>
      </c>
    </row>
    <row r="22" spans="1:26" x14ac:dyDescent="0.35">
      <c r="A22" s="1" t="s">
        <v>42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-126.9954214393961</v>
      </c>
      <c r="K22">
        <v>-129.01325817053541</v>
      </c>
      <c r="L22">
        <v>-134.88467628123831</v>
      </c>
      <c r="M22">
        <v>-138.92578394760511</v>
      </c>
      <c r="N22">
        <v>-127.68554446523321</v>
      </c>
      <c r="O22">
        <v>-138.45653845184279</v>
      </c>
      <c r="P22">
        <v>-137.72800404914759</v>
      </c>
      <c r="Q22">
        <v>-151.50500162944579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  <c r="Z22">
        <f t="shared" ref="Z22" si="17">SUM(B22:Y22)*60</f>
        <v>-255416.50192778069</v>
      </c>
    </row>
    <row r="23" spans="1:26" x14ac:dyDescent="0.35">
      <c r="A23" s="1" t="s">
        <v>43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-181.04590452668629</v>
      </c>
      <c r="K23">
        <v>-220.08985104498049</v>
      </c>
      <c r="L23">
        <v>-235.76641496998721</v>
      </c>
      <c r="M23">
        <v>-230.34623322727271</v>
      </c>
      <c r="N23">
        <v>-229.41306359659089</v>
      </c>
      <c r="O23">
        <v>-230.0982114216867</v>
      </c>
      <c r="P23">
        <v>-231.23299575526951</v>
      </c>
      <c r="Q23">
        <v>-222.30568987444951</v>
      </c>
      <c r="R23">
        <v>-215.5855378141321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  <c r="Z23">
        <f t="shared" ref="Z23" si="18">SUM(B23:Y23)*199</f>
        <v>-1386842.4148154764</v>
      </c>
    </row>
    <row r="24" spans="1:26" x14ac:dyDescent="0.35">
      <c r="A24" s="1" t="s">
        <v>44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-99.522379999999998</v>
      </c>
      <c r="J24">
        <v>-126.83762666666669</v>
      </c>
      <c r="K24">
        <v>-137.84143897435899</v>
      </c>
      <c r="L24">
        <v>-138.55437977987421</v>
      </c>
      <c r="M24">
        <v>-142.13403392201829</v>
      </c>
      <c r="N24">
        <v>-131.34171208333331</v>
      </c>
      <c r="O24">
        <v>-142.59624444444441</v>
      </c>
      <c r="P24">
        <v>-133.97440741433019</v>
      </c>
      <c r="Q24">
        <v>-139.98177408602149</v>
      </c>
      <c r="R24">
        <v>-145.67950396396401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  <c r="Z24">
        <f t="shared" ref="Z24" si="19">SUM(B24:Y24)*106</f>
        <v>-410345.50791745115</v>
      </c>
    </row>
    <row r="25" spans="1:26" x14ac:dyDescent="0.35">
      <c r="A25" s="1" t="s">
        <v>45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-126.9954214393961</v>
      </c>
      <c r="K25">
        <v>-129.01325817053541</v>
      </c>
      <c r="L25">
        <v>-134.88467628123831</v>
      </c>
      <c r="M25">
        <v>-138.92578394760511</v>
      </c>
      <c r="N25">
        <v>-127.68554446523321</v>
      </c>
      <c r="O25">
        <v>-138.45653845184279</v>
      </c>
      <c r="P25">
        <v>-137.72800404914759</v>
      </c>
      <c r="Q25">
        <v>-151.50500162944579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  <c r="Z25">
        <f t="shared" ref="Z25" si="20">SUM(B25:Y25)*60</f>
        <v>-255416.50192778069</v>
      </c>
    </row>
    <row r="26" spans="1:26" x14ac:dyDescent="0.35">
      <c r="A26" s="1" t="s">
        <v>46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-181.04590452668629</v>
      </c>
      <c r="K26">
        <v>-220.08985104498049</v>
      </c>
      <c r="L26">
        <v>-235.76641496998721</v>
      </c>
      <c r="M26">
        <v>-230.34623322727271</v>
      </c>
      <c r="N26">
        <v>-229.41306359659089</v>
      </c>
      <c r="O26">
        <v>-230.0982114216867</v>
      </c>
      <c r="P26">
        <v>-231.23299575526951</v>
      </c>
      <c r="Q26">
        <v>-222.30568987444951</v>
      </c>
      <c r="R26">
        <v>-215.5855378141321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  <c r="Z26">
        <f t="shared" ref="Z26" si="21">SUM(B26:Y26)*199</f>
        <v>-1386842.4148154764</v>
      </c>
    </row>
    <row r="27" spans="1:26" x14ac:dyDescent="0.35">
      <c r="A27" s="1" t="s">
        <v>47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-99.522379999999998</v>
      </c>
      <c r="J27">
        <v>-126.83762666666669</v>
      </c>
      <c r="K27">
        <v>-137.84143897435899</v>
      </c>
      <c r="L27">
        <v>-138.55437977987421</v>
      </c>
      <c r="M27">
        <v>-142.13403392201829</v>
      </c>
      <c r="N27">
        <v>-131.34171208333331</v>
      </c>
      <c r="O27">
        <v>-142.59624444444441</v>
      </c>
      <c r="P27">
        <v>-133.97440741433019</v>
      </c>
      <c r="Q27">
        <v>-139.98177408602149</v>
      </c>
      <c r="R27">
        <v>-145.67950396396401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  <c r="Z27">
        <f t="shared" ref="Z27" si="22">SUM(B27:Y27)*106</f>
        <v>-410345.50791745115</v>
      </c>
    </row>
    <row r="28" spans="1:26" x14ac:dyDescent="0.35">
      <c r="A28" s="1" t="s">
        <v>48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-126.9954214393961</v>
      </c>
      <c r="K28">
        <v>-129.01325817053541</v>
      </c>
      <c r="L28">
        <v>-134.88467628123831</v>
      </c>
      <c r="M28">
        <v>-138.92578394760511</v>
      </c>
      <c r="N28">
        <v>-127.68554446523321</v>
      </c>
      <c r="O28">
        <v>-138.45653845184279</v>
      </c>
      <c r="P28">
        <v>-137.72800404914759</v>
      </c>
      <c r="Q28">
        <v>-151.50500162944579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  <c r="Z28">
        <f t="shared" ref="Z28" si="23">SUM(B28:Y28)*60</f>
        <v>-255416.50192778069</v>
      </c>
    </row>
    <row r="29" spans="1:26" x14ac:dyDescent="0.35">
      <c r="A29" s="1" t="s">
        <v>49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-181.04590452668629</v>
      </c>
      <c r="K29">
        <v>-220.08985104498049</v>
      </c>
      <c r="L29">
        <v>-235.76641496998721</v>
      </c>
      <c r="M29">
        <v>-230.34623322727271</v>
      </c>
      <c r="N29">
        <v>-229.41306359659089</v>
      </c>
      <c r="O29">
        <v>-230.0982114216867</v>
      </c>
      <c r="P29">
        <v>-231.23299575526951</v>
      </c>
      <c r="Q29">
        <v>-222.30568987444951</v>
      </c>
      <c r="R29">
        <v>-215.5855378141321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  <c r="Z29">
        <f t="shared" ref="Z29" si="24">SUM(B29:Y29)*199</f>
        <v>-1386842.4148154764</v>
      </c>
    </row>
    <row r="30" spans="1:26" x14ac:dyDescent="0.35">
      <c r="A30" s="1" t="s">
        <v>50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-99.522379999999998</v>
      </c>
      <c r="J30">
        <v>-126.83762666666669</v>
      </c>
      <c r="K30">
        <v>-137.84143897435899</v>
      </c>
      <c r="L30">
        <v>-138.55437977987421</v>
      </c>
      <c r="M30">
        <v>-142.13403392201829</v>
      </c>
      <c r="N30">
        <v>-131.34171208333331</v>
      </c>
      <c r="O30">
        <v>-142.59624444444441</v>
      </c>
      <c r="P30">
        <v>-133.97440741433019</v>
      </c>
      <c r="Q30">
        <v>-139.98177408602149</v>
      </c>
      <c r="R30">
        <v>-145.67950396396401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  <c r="Z30">
        <f t="shared" ref="Z30" si="25">SUM(B30:Y30)*106</f>
        <v>-410345.50791745115</v>
      </c>
    </row>
    <row r="31" spans="1:26" x14ac:dyDescent="0.35">
      <c r="A31" s="1" t="s">
        <v>51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-126.9954214393961</v>
      </c>
      <c r="K31">
        <v>-129.01325817053541</v>
      </c>
      <c r="L31">
        <v>-134.88467628123831</v>
      </c>
      <c r="M31">
        <v>-138.92578394760511</v>
      </c>
      <c r="N31">
        <v>-127.68554446523321</v>
      </c>
      <c r="O31">
        <v>-138.45653845184279</v>
      </c>
      <c r="P31">
        <v>-137.72800404914759</v>
      </c>
      <c r="Q31">
        <v>-151.50500162944579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  <c r="Z31">
        <f t="shared" ref="Z31" si="26">SUM(B31:Y31)*60</f>
        <v>-255416.50192778069</v>
      </c>
    </row>
    <row r="32" spans="1:26" x14ac:dyDescent="0.35">
      <c r="A32" s="1" t="s">
        <v>52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-181.04590452668629</v>
      </c>
      <c r="K32">
        <v>-220.08985104498049</v>
      </c>
      <c r="L32">
        <v>-235.76641496998721</v>
      </c>
      <c r="M32">
        <v>-230.34623322727271</v>
      </c>
      <c r="N32">
        <v>-229.41306359659089</v>
      </c>
      <c r="O32">
        <v>-230.0982114216867</v>
      </c>
      <c r="P32">
        <v>-231.23299575526951</v>
      </c>
      <c r="Q32">
        <v>-222.30568987444951</v>
      </c>
      <c r="R32">
        <v>-215.5855378141321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  <c r="Z32">
        <f t="shared" ref="Z32" si="27">SUM(B32:Y32)*199</f>
        <v>-1386842.4148154764</v>
      </c>
    </row>
    <row r="33" spans="1:26" x14ac:dyDescent="0.35">
      <c r="A33" s="1" t="s">
        <v>53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-99.522379999999998</v>
      </c>
      <c r="J33">
        <v>-126.83762666666669</v>
      </c>
      <c r="K33">
        <v>-137.84143897435899</v>
      </c>
      <c r="L33">
        <v>-138.55437977987421</v>
      </c>
      <c r="M33">
        <v>-142.13403392201829</v>
      </c>
      <c r="N33">
        <v>-131.34171208333331</v>
      </c>
      <c r="O33">
        <v>-142.59624444444441</v>
      </c>
      <c r="P33">
        <v>-133.97440741433019</v>
      </c>
      <c r="Q33">
        <v>-139.98177408602149</v>
      </c>
      <c r="R33">
        <v>-145.67950396396401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  <c r="Z33">
        <f t="shared" ref="Z33" si="28">SUM(B33:Y33)*106</f>
        <v>-410345.50791745115</v>
      </c>
    </row>
    <row r="34" spans="1:26" x14ac:dyDescent="0.35">
      <c r="A34" s="1" t="s">
        <v>54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-126.9954214393961</v>
      </c>
      <c r="K34">
        <v>-129.01325817053541</v>
      </c>
      <c r="L34">
        <v>-134.88467628123831</v>
      </c>
      <c r="M34">
        <v>-138.92578394760511</v>
      </c>
      <c r="N34">
        <v>-127.68554446523321</v>
      </c>
      <c r="O34">
        <v>-138.45653845184279</v>
      </c>
      <c r="P34">
        <v>-137.72800404914759</v>
      </c>
      <c r="Q34">
        <v>-151.50500162944579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  <c r="Z34">
        <f t="shared" ref="Z34" si="29">SUM(B34:Y34)*60</f>
        <v>-255416.50192778069</v>
      </c>
    </row>
    <row r="35" spans="1:26" x14ac:dyDescent="0.35">
      <c r="A35" s="1" t="s">
        <v>55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-181.04590452668629</v>
      </c>
      <c r="K35">
        <v>-220.08985104498049</v>
      </c>
      <c r="L35">
        <v>-235.76641496998721</v>
      </c>
      <c r="M35">
        <v>-230.34623322727271</v>
      </c>
      <c r="N35">
        <v>-229.41306359659089</v>
      </c>
      <c r="O35">
        <v>-230.0982114216867</v>
      </c>
      <c r="P35">
        <v>-231.23299575526951</v>
      </c>
      <c r="Q35">
        <v>-222.30568987444951</v>
      </c>
      <c r="R35">
        <v>-215.5855378141321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  <c r="Z35">
        <f t="shared" ref="Z35" si="30">SUM(B35:Y35)*199</f>
        <v>-1386842.4148154764</v>
      </c>
    </row>
    <row r="36" spans="1:26" x14ac:dyDescent="0.35">
      <c r="A36" s="1" t="s">
        <v>56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-99.522379999999998</v>
      </c>
      <c r="J36">
        <v>-126.83762666666669</v>
      </c>
      <c r="K36">
        <v>-137.84143897435899</v>
      </c>
      <c r="L36">
        <v>-138.55437977987421</v>
      </c>
      <c r="M36">
        <v>-142.13403392201829</v>
      </c>
      <c r="N36">
        <v>-131.34171208333331</v>
      </c>
      <c r="O36">
        <v>-142.59624444444441</v>
      </c>
      <c r="P36">
        <v>-133.97440741433019</v>
      </c>
      <c r="Q36">
        <v>-139.98177408602149</v>
      </c>
      <c r="R36">
        <v>-145.67950396396401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  <c r="Z36">
        <f t="shared" ref="Z36" si="31">SUM(B36:Y36)*106</f>
        <v>-410345.50791745115</v>
      </c>
    </row>
    <row r="37" spans="1:26" x14ac:dyDescent="0.35">
      <c r="A37" s="1" t="s">
        <v>57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-126.9954214393961</v>
      </c>
      <c r="K37">
        <v>-129.01325817053541</v>
      </c>
      <c r="L37">
        <v>-134.88467628123831</v>
      </c>
      <c r="M37">
        <v>-138.92578394760511</v>
      </c>
      <c r="N37">
        <v>-127.68554446523321</v>
      </c>
      <c r="O37">
        <v>-138.45653845184279</v>
      </c>
      <c r="P37">
        <v>-137.72800404914759</v>
      </c>
      <c r="Q37">
        <v>-151.50500162944579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  <c r="Z37">
        <f t="shared" ref="Z37" si="32">SUM(B37:Y37)*60</f>
        <v>-255416.50192778069</v>
      </c>
    </row>
    <row r="38" spans="1:26" x14ac:dyDescent="0.35">
      <c r="A38" s="1" t="s">
        <v>58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-181.04590452668629</v>
      </c>
      <c r="K38">
        <v>-220.08985104498049</v>
      </c>
      <c r="L38">
        <v>-235.76641496998721</v>
      </c>
      <c r="M38">
        <v>-230.34623322727271</v>
      </c>
      <c r="N38">
        <v>-229.41306359659089</v>
      </c>
      <c r="O38">
        <v>-230.0982114216867</v>
      </c>
      <c r="P38">
        <v>-231.23299575526951</v>
      </c>
      <c r="Q38">
        <v>-222.30568987444951</v>
      </c>
      <c r="R38">
        <v>-215.5855378141321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  <c r="Z38">
        <f t="shared" ref="Z38" si="33">SUM(B38:Y38)*199</f>
        <v>-1386842.4148154764</v>
      </c>
    </row>
    <row r="39" spans="1:26" x14ac:dyDescent="0.35">
      <c r="A39" s="1" t="s">
        <v>59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-99.522379999999998</v>
      </c>
      <c r="J39">
        <v>-126.83762666666669</v>
      </c>
      <c r="K39">
        <v>-137.84143897435899</v>
      </c>
      <c r="L39">
        <v>-138.55437977987421</v>
      </c>
      <c r="M39">
        <v>-142.13403392201829</v>
      </c>
      <c r="N39">
        <v>-131.34171208333331</v>
      </c>
      <c r="O39">
        <v>-142.59624444444441</v>
      </c>
      <c r="P39">
        <v>-133.97440741433019</v>
      </c>
      <c r="Q39">
        <v>-139.98177408602149</v>
      </c>
      <c r="R39">
        <v>-145.67950396396401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  <c r="Z39">
        <f t="shared" ref="Z39" si="34">SUM(B39:Y39)*106</f>
        <v>-410345.50791745115</v>
      </c>
    </row>
    <row r="40" spans="1:26" x14ac:dyDescent="0.35">
      <c r="A40" s="1" t="s">
        <v>60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-126.9954214393961</v>
      </c>
      <c r="K40">
        <v>-129.01325817053541</v>
      </c>
      <c r="L40">
        <v>-134.88467628123831</v>
      </c>
      <c r="M40">
        <v>-138.92578394760511</v>
      </c>
      <c r="N40">
        <v>-127.68554446523321</v>
      </c>
      <c r="O40">
        <v>-138.45653845184279</v>
      </c>
      <c r="P40">
        <v>-137.72800404914759</v>
      </c>
      <c r="Q40">
        <v>-151.50500162944579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  <c r="Z40">
        <f t="shared" ref="Z40" si="35">SUM(B40:Y40)*60</f>
        <v>-255416.50192778069</v>
      </c>
    </row>
    <row r="41" spans="1:26" x14ac:dyDescent="0.35">
      <c r="A41" s="1" t="s">
        <v>61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-181.04590452668629</v>
      </c>
      <c r="K41">
        <v>-220.08985104498049</v>
      </c>
      <c r="L41">
        <v>-235.76641496998721</v>
      </c>
      <c r="M41">
        <v>-230.34623322727271</v>
      </c>
      <c r="N41">
        <v>-229.41306359659089</v>
      </c>
      <c r="O41">
        <v>-230.0982114216867</v>
      </c>
      <c r="P41">
        <v>-231.23299575526951</v>
      </c>
      <c r="Q41">
        <v>-222.30568987444951</v>
      </c>
      <c r="R41">
        <v>-215.5855378141321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  <c r="Z41">
        <f t="shared" ref="Z41" si="36">SUM(B41:Y41)*199</f>
        <v>-1386842.4148154764</v>
      </c>
    </row>
    <row r="42" spans="1:26" x14ac:dyDescent="0.35">
      <c r="A42" s="1" t="s">
        <v>62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-99.522379999999998</v>
      </c>
      <c r="J42">
        <v>-126.83762666666669</v>
      </c>
      <c r="K42">
        <v>-137.84143897435899</v>
      </c>
      <c r="L42">
        <v>-138.55437977987421</v>
      </c>
      <c r="M42">
        <v>-142.13403392201829</v>
      </c>
      <c r="N42">
        <v>-131.34171208333331</v>
      </c>
      <c r="O42">
        <v>-142.59624444444441</v>
      </c>
      <c r="P42">
        <v>-133.97440741433019</v>
      </c>
      <c r="Q42">
        <v>-139.98177408602149</v>
      </c>
      <c r="R42">
        <v>-145.67950396396401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  <c r="Z42">
        <f t="shared" ref="Z42" si="37">SUM(B42:Y42)*106</f>
        <v>-410345.50791745115</v>
      </c>
    </row>
    <row r="43" spans="1:26" x14ac:dyDescent="0.35">
      <c r="A43" s="1" t="s">
        <v>63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-126.9954214393961</v>
      </c>
      <c r="K43">
        <v>-129.01325817053541</v>
      </c>
      <c r="L43">
        <v>-134.88467628123831</v>
      </c>
      <c r="M43">
        <v>-138.92578394760511</v>
      </c>
      <c r="N43">
        <v>-127.68554446523321</v>
      </c>
      <c r="O43">
        <v>-138.45653845184279</v>
      </c>
      <c r="P43">
        <v>-137.72800404914759</v>
      </c>
      <c r="Q43">
        <v>-151.50500162944579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  <c r="Z43">
        <f t="shared" ref="Z43" si="38">SUM(B43:Y43)*60</f>
        <v>-255416.50192778069</v>
      </c>
    </row>
    <row r="44" spans="1:26" x14ac:dyDescent="0.35">
      <c r="A44" s="1" t="s">
        <v>64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-181.04590452668629</v>
      </c>
      <c r="K44">
        <v>-220.08985104498049</v>
      </c>
      <c r="L44">
        <v>-235.76641496998721</v>
      </c>
      <c r="M44">
        <v>-230.34623322727271</v>
      </c>
      <c r="N44">
        <v>-229.41306359659089</v>
      </c>
      <c r="O44">
        <v>-230.0982114216867</v>
      </c>
      <c r="P44">
        <v>-231.23299575526951</v>
      </c>
      <c r="Q44">
        <v>-222.30568987444951</v>
      </c>
      <c r="R44">
        <v>-215.5855378141321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  <c r="Z44">
        <f t="shared" ref="Z44" si="39">SUM(B44:Y44)*199</f>
        <v>-1386842.4148154764</v>
      </c>
    </row>
    <row r="45" spans="1:26" x14ac:dyDescent="0.35">
      <c r="A45" s="1" t="s">
        <v>65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-99.522379999999998</v>
      </c>
      <c r="J45">
        <v>-126.83762666666669</v>
      </c>
      <c r="K45">
        <v>-137.84143897435899</v>
      </c>
      <c r="L45">
        <v>-138.55437977987421</v>
      </c>
      <c r="M45">
        <v>-142.13403392201829</v>
      </c>
      <c r="N45">
        <v>-131.34171208333331</v>
      </c>
      <c r="O45">
        <v>-142.59624444444441</v>
      </c>
      <c r="P45">
        <v>-133.97440741433019</v>
      </c>
      <c r="Q45">
        <v>-139.98177408602149</v>
      </c>
      <c r="R45">
        <v>-145.67950396396401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  <c r="Z45">
        <f t="shared" ref="Z45" si="40">SUM(B45:Y45)*106</f>
        <v>-410345.50791745115</v>
      </c>
    </row>
    <row r="46" spans="1:26" x14ac:dyDescent="0.35">
      <c r="A46" s="1" t="s">
        <v>66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-126.9954214393961</v>
      </c>
      <c r="K46">
        <v>-129.01325817053541</v>
      </c>
      <c r="L46">
        <v>-134.88467628123831</v>
      </c>
      <c r="M46">
        <v>-138.92578394760511</v>
      </c>
      <c r="N46">
        <v>-127.68554446523321</v>
      </c>
      <c r="O46">
        <v>-138.45653845184279</v>
      </c>
      <c r="P46">
        <v>-137.72800404914759</v>
      </c>
      <c r="Q46">
        <v>-151.50500162944579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  <c r="Z46">
        <f t="shared" ref="Z46" si="41">SUM(B46:Y46)*60</f>
        <v>-255416.50192778069</v>
      </c>
    </row>
    <row r="47" spans="1:26" x14ac:dyDescent="0.35">
      <c r="Z47">
        <f>-1*SUM(Z2:Z46)</f>
        <v>30789066.369910646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Y46"/>
  <sheetViews>
    <sheetView topLeftCell="A25"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-11.949289354612519</v>
      </c>
      <c r="K2">
        <v>104.05556152618421</v>
      </c>
      <c r="L2">
        <v>181.8947995804632</v>
      </c>
      <c r="M2">
        <v>219.16730026555979</v>
      </c>
      <c r="N2">
        <v>207.93386081539319</v>
      </c>
      <c r="O2">
        <v>150.7019698410586</v>
      </c>
      <c r="P2">
        <v>90.565712416213103</v>
      </c>
      <c r="Q2">
        <v>-9.9906992145448044</v>
      </c>
      <c r="R2">
        <v>-149.86911794114971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</row>
    <row r="3" spans="1:25" x14ac:dyDescent="0.35">
      <c r="A3" s="1" t="s">
        <v>23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-89.396632851415077</v>
      </c>
      <c r="J3">
        <v>-0.74659132625785674</v>
      </c>
      <c r="K3">
        <v>126.6237980382196</v>
      </c>
      <c r="L3">
        <v>232.28596552358499</v>
      </c>
      <c r="M3">
        <v>323.57102982798159</v>
      </c>
      <c r="N3">
        <v>348.00066226022022</v>
      </c>
      <c r="O3">
        <v>251.26607483228511</v>
      </c>
      <c r="P3">
        <v>184.48836122560689</v>
      </c>
      <c r="Q3">
        <v>70.095513649827581</v>
      </c>
      <c r="R3">
        <v>-100.1578341526431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</row>
    <row r="4" spans="1:25" x14ac:dyDescent="0.35">
      <c r="A4" s="1" t="s">
        <v>24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-93.359180116672775</v>
      </c>
      <c r="K4">
        <v>-22.269491825882849</v>
      </c>
      <c r="L4">
        <v>27.590025260316139</v>
      </c>
      <c r="M4">
        <v>39.583876961840588</v>
      </c>
      <c r="N4">
        <v>44.132172379228592</v>
      </c>
      <c r="O4">
        <v>24.585127914039671</v>
      </c>
      <c r="P4">
        <v>-2.721440735106512</v>
      </c>
      <c r="Q4">
        <v>-86.162043251694385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</row>
    <row r="5" spans="1:25" x14ac:dyDescent="0.35">
      <c r="A5" s="1" t="s">
        <v>25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-11.949289354612519</v>
      </c>
      <c r="K5">
        <v>104.05556152618421</v>
      </c>
      <c r="L5">
        <v>181.8947995804632</v>
      </c>
      <c r="M5">
        <v>219.16730026555979</v>
      </c>
      <c r="N5">
        <v>207.93386081539319</v>
      </c>
      <c r="O5">
        <v>150.7019698410586</v>
      </c>
      <c r="P5">
        <v>90.565712416213103</v>
      </c>
      <c r="Q5">
        <v>-9.9906992145448044</v>
      </c>
      <c r="R5">
        <v>-149.86911794114971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</row>
    <row r="6" spans="1:25" x14ac:dyDescent="0.35">
      <c r="A6" s="1" t="s">
        <v>26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-89.396632851415077</v>
      </c>
      <c r="J6">
        <v>-0.74659132625785674</v>
      </c>
      <c r="K6">
        <v>126.6237980382196</v>
      </c>
      <c r="L6">
        <v>232.28596552358499</v>
      </c>
      <c r="M6">
        <v>323.57102982798159</v>
      </c>
      <c r="N6">
        <v>348.00066226022022</v>
      </c>
      <c r="O6">
        <v>251.26607483228511</v>
      </c>
      <c r="P6">
        <v>184.48836122560689</v>
      </c>
      <c r="Q6">
        <v>70.095513649827581</v>
      </c>
      <c r="R6">
        <v>-100.1578341526431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</row>
    <row r="7" spans="1:25" x14ac:dyDescent="0.35">
      <c r="A7" s="1" t="s">
        <v>27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-93.359180116672775</v>
      </c>
      <c r="K7">
        <v>-22.269491825882849</v>
      </c>
      <c r="L7">
        <v>27.590025260316139</v>
      </c>
      <c r="M7">
        <v>39.583876961840588</v>
      </c>
      <c r="N7">
        <v>44.132172379228592</v>
      </c>
      <c r="O7">
        <v>24.585127914039671</v>
      </c>
      <c r="P7">
        <v>-2.721440735106512</v>
      </c>
      <c r="Q7">
        <v>-86.162043251694385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</row>
    <row r="8" spans="1:25" x14ac:dyDescent="0.35">
      <c r="A8" s="1" t="s">
        <v>28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-11.949289354612519</v>
      </c>
      <c r="K8">
        <v>104.05556152618421</v>
      </c>
      <c r="L8">
        <v>181.8947995804632</v>
      </c>
      <c r="M8">
        <v>219.16730026555979</v>
      </c>
      <c r="N8">
        <v>207.93386081539319</v>
      </c>
      <c r="O8">
        <v>150.7019698410586</v>
      </c>
      <c r="P8">
        <v>90.565712416213103</v>
      </c>
      <c r="Q8">
        <v>-9.9906992145448044</v>
      </c>
      <c r="R8">
        <v>-149.86911794114971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</row>
    <row r="9" spans="1:25" x14ac:dyDescent="0.35">
      <c r="A9" s="1" t="s">
        <v>29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-89.396632851415077</v>
      </c>
      <c r="J9">
        <v>-0.74659132625785674</v>
      </c>
      <c r="K9">
        <v>126.6237980382196</v>
      </c>
      <c r="L9">
        <v>232.28596552358499</v>
      </c>
      <c r="M9">
        <v>323.57102982798159</v>
      </c>
      <c r="N9">
        <v>348.00066226022022</v>
      </c>
      <c r="O9">
        <v>251.26607483228511</v>
      </c>
      <c r="P9">
        <v>184.48836122560689</v>
      </c>
      <c r="Q9">
        <v>70.095513649827581</v>
      </c>
      <c r="R9">
        <v>-100.1578341526431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</row>
    <row r="10" spans="1:25" x14ac:dyDescent="0.35">
      <c r="A10" s="1" t="s">
        <v>30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-93.359180116672775</v>
      </c>
      <c r="K10">
        <v>-22.269491825882849</v>
      </c>
      <c r="L10">
        <v>27.590025260316139</v>
      </c>
      <c r="M10">
        <v>39.583876961840588</v>
      </c>
      <c r="N10">
        <v>44.132172379228592</v>
      </c>
      <c r="O10">
        <v>24.585127914039671</v>
      </c>
      <c r="P10">
        <v>-2.721440735106512</v>
      </c>
      <c r="Q10">
        <v>-86.162043251694385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</row>
    <row r="11" spans="1:25" x14ac:dyDescent="0.35">
      <c r="A11" s="1" t="s">
        <v>31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-11.949289354612519</v>
      </c>
      <c r="K11">
        <v>104.05556152618421</v>
      </c>
      <c r="L11">
        <v>181.8947995804632</v>
      </c>
      <c r="M11">
        <v>219.16730026555979</v>
      </c>
      <c r="N11">
        <v>207.93386081539319</v>
      </c>
      <c r="O11">
        <v>150.7019698410586</v>
      </c>
      <c r="P11">
        <v>90.565712416213103</v>
      </c>
      <c r="Q11">
        <v>-9.9906992145448044</v>
      </c>
      <c r="R11">
        <v>-149.86911794114971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</row>
    <row r="12" spans="1:25" x14ac:dyDescent="0.35">
      <c r="A12" s="1" t="s">
        <v>32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-89.396632851415077</v>
      </c>
      <c r="J12">
        <v>-0.74659132625785674</v>
      </c>
      <c r="K12">
        <v>126.6237980382196</v>
      </c>
      <c r="L12">
        <v>232.28596552358499</v>
      </c>
      <c r="M12">
        <v>323.57102982798159</v>
      </c>
      <c r="N12">
        <v>348.00066226022022</v>
      </c>
      <c r="O12">
        <v>251.26607483228511</v>
      </c>
      <c r="P12">
        <v>184.48836122560689</v>
      </c>
      <c r="Q12">
        <v>70.095513649827581</v>
      </c>
      <c r="R12">
        <v>-100.1578341526431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</row>
    <row r="13" spans="1:25" x14ac:dyDescent="0.35">
      <c r="A13" s="1" t="s">
        <v>33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-93.359180116672775</v>
      </c>
      <c r="K13">
        <v>-22.269491825882849</v>
      </c>
      <c r="L13">
        <v>27.590025260316139</v>
      </c>
      <c r="M13">
        <v>39.583876961840588</v>
      </c>
      <c r="N13">
        <v>44.132172379228592</v>
      </c>
      <c r="O13">
        <v>24.585127914039671</v>
      </c>
      <c r="P13">
        <v>-2.721440735106512</v>
      </c>
      <c r="Q13">
        <v>-86.162043251694385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</row>
    <row r="14" spans="1:25" x14ac:dyDescent="0.35">
      <c r="A14" s="1" t="s">
        <v>34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-11.949289354612519</v>
      </c>
      <c r="K14">
        <v>104.05556152618421</v>
      </c>
      <c r="L14">
        <v>181.8947995804632</v>
      </c>
      <c r="M14">
        <v>219.16730026555979</v>
      </c>
      <c r="N14">
        <v>207.93386081539319</v>
      </c>
      <c r="O14">
        <v>150.7019698410586</v>
      </c>
      <c r="P14">
        <v>90.565712416213103</v>
      </c>
      <c r="Q14">
        <v>-9.9906992145448044</v>
      </c>
      <c r="R14">
        <v>-149.86911794114971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</row>
    <row r="15" spans="1:25" x14ac:dyDescent="0.35">
      <c r="A15" s="1" t="s">
        <v>35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-89.396632851415077</v>
      </c>
      <c r="J15">
        <v>-0.74659132625785674</v>
      </c>
      <c r="K15">
        <v>126.6237980382196</v>
      </c>
      <c r="L15">
        <v>232.28596552358499</v>
      </c>
      <c r="M15">
        <v>323.57102982798159</v>
      </c>
      <c r="N15">
        <v>348.00066226022022</v>
      </c>
      <c r="O15">
        <v>251.26607483228511</v>
      </c>
      <c r="P15">
        <v>184.48836122560689</v>
      </c>
      <c r="Q15">
        <v>70.095513649827581</v>
      </c>
      <c r="R15">
        <v>-100.1578341526431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</row>
    <row r="16" spans="1:25" x14ac:dyDescent="0.35">
      <c r="A16" s="1" t="s">
        <v>36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-93.359180116672775</v>
      </c>
      <c r="K16">
        <v>-22.269491825882849</v>
      </c>
      <c r="L16">
        <v>27.590025260316139</v>
      </c>
      <c r="M16">
        <v>39.583876961840588</v>
      </c>
      <c r="N16">
        <v>44.132172379228592</v>
      </c>
      <c r="O16">
        <v>24.585127914039671</v>
      </c>
      <c r="P16">
        <v>-2.721440735106512</v>
      </c>
      <c r="Q16">
        <v>-86.162043251694385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</row>
    <row r="17" spans="1:25" x14ac:dyDescent="0.35">
      <c r="A17" s="1" t="s">
        <v>37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-11.949289354612519</v>
      </c>
      <c r="K17">
        <v>104.05556152618421</v>
      </c>
      <c r="L17">
        <v>181.8947995804632</v>
      </c>
      <c r="M17">
        <v>219.16730026555979</v>
      </c>
      <c r="N17">
        <v>207.93386081539319</v>
      </c>
      <c r="O17">
        <v>150.7019698410586</v>
      </c>
      <c r="P17">
        <v>90.565712416213103</v>
      </c>
      <c r="Q17">
        <v>-9.9906992145448044</v>
      </c>
      <c r="R17">
        <v>-149.86911794114971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</row>
    <row r="18" spans="1:25" x14ac:dyDescent="0.35">
      <c r="A18" s="1" t="s">
        <v>38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-89.396632851415077</v>
      </c>
      <c r="J18">
        <v>-0.74659132625785674</v>
      </c>
      <c r="K18">
        <v>126.6237980382196</v>
      </c>
      <c r="L18">
        <v>232.28596552358499</v>
      </c>
      <c r="M18">
        <v>323.57102982798159</v>
      </c>
      <c r="N18">
        <v>348.00066226022022</v>
      </c>
      <c r="O18">
        <v>251.26607483228511</v>
      </c>
      <c r="P18">
        <v>184.48836122560689</v>
      </c>
      <c r="Q18">
        <v>70.095513649827581</v>
      </c>
      <c r="R18">
        <v>-100.1578341526431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</row>
    <row r="19" spans="1:25" x14ac:dyDescent="0.35">
      <c r="A19" s="1" t="s">
        <v>39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-93.359180116672775</v>
      </c>
      <c r="K19">
        <v>-22.269491825882849</v>
      </c>
      <c r="L19">
        <v>27.590025260316139</v>
      </c>
      <c r="M19">
        <v>39.583876961840588</v>
      </c>
      <c r="N19">
        <v>44.132172379228592</v>
      </c>
      <c r="O19">
        <v>24.585127914039671</v>
      </c>
      <c r="P19">
        <v>-2.721440735106512</v>
      </c>
      <c r="Q19">
        <v>-86.162043251694385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</row>
    <row r="20" spans="1:25" x14ac:dyDescent="0.35">
      <c r="A20" s="1" t="s">
        <v>40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-11.949289354612519</v>
      </c>
      <c r="K20">
        <v>104.05556152618421</v>
      </c>
      <c r="L20">
        <v>181.8947995804632</v>
      </c>
      <c r="M20">
        <v>219.16730026555979</v>
      </c>
      <c r="N20">
        <v>207.93386081539319</v>
      </c>
      <c r="O20">
        <v>150.7019698410586</v>
      </c>
      <c r="P20">
        <v>90.565712416213103</v>
      </c>
      <c r="Q20">
        <v>-9.9906992145448044</v>
      </c>
      <c r="R20">
        <v>-149.86911794114971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</row>
    <row r="21" spans="1:25" x14ac:dyDescent="0.35">
      <c r="A21" s="1" t="s">
        <v>41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-89.396632851415077</v>
      </c>
      <c r="J21">
        <v>-0.74659132625785674</v>
      </c>
      <c r="K21">
        <v>126.6237980382196</v>
      </c>
      <c r="L21">
        <v>232.28596552358499</v>
      </c>
      <c r="M21">
        <v>323.57102982798159</v>
      </c>
      <c r="N21">
        <v>348.00066226022022</v>
      </c>
      <c r="O21">
        <v>251.26607483228511</v>
      </c>
      <c r="P21">
        <v>184.48836122560689</v>
      </c>
      <c r="Q21">
        <v>70.095513649827581</v>
      </c>
      <c r="R21">
        <v>-100.1578341526431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</row>
    <row r="22" spans="1:25" x14ac:dyDescent="0.35">
      <c r="A22" s="1" t="s">
        <v>42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-93.359180116672775</v>
      </c>
      <c r="K22">
        <v>-22.269491825882849</v>
      </c>
      <c r="L22">
        <v>27.590025260316139</v>
      </c>
      <c r="M22">
        <v>39.583876961840588</v>
      </c>
      <c r="N22">
        <v>44.132172379228592</v>
      </c>
      <c r="O22">
        <v>24.585127914039671</v>
      </c>
      <c r="P22">
        <v>-2.721440735106512</v>
      </c>
      <c r="Q22">
        <v>-86.162043251694385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</row>
    <row r="23" spans="1:25" x14ac:dyDescent="0.35">
      <c r="A23" s="1" t="s">
        <v>43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-11.949289354612519</v>
      </c>
      <c r="K23">
        <v>104.05556152618421</v>
      </c>
      <c r="L23">
        <v>181.8947995804632</v>
      </c>
      <c r="M23">
        <v>219.16730026555979</v>
      </c>
      <c r="N23">
        <v>207.93386081539319</v>
      </c>
      <c r="O23">
        <v>150.7019698410586</v>
      </c>
      <c r="P23">
        <v>90.565712416213103</v>
      </c>
      <c r="Q23">
        <v>-9.9906992145448044</v>
      </c>
      <c r="R23">
        <v>-149.86911794114971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</row>
    <row r="24" spans="1:25" x14ac:dyDescent="0.35">
      <c r="A24" s="1" t="s">
        <v>44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-89.396632851415077</v>
      </c>
      <c r="J24">
        <v>-0.74659132625785674</v>
      </c>
      <c r="K24">
        <v>126.6237980382196</v>
      </c>
      <c r="L24">
        <v>232.28596552358499</v>
      </c>
      <c r="M24">
        <v>323.57102982798159</v>
      </c>
      <c r="N24">
        <v>348.00066226022022</v>
      </c>
      <c r="O24">
        <v>251.26607483228511</v>
      </c>
      <c r="P24">
        <v>184.48836122560689</v>
      </c>
      <c r="Q24">
        <v>70.095513649827581</v>
      </c>
      <c r="R24">
        <v>-100.1578341526431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</row>
    <row r="25" spans="1:25" x14ac:dyDescent="0.35">
      <c r="A25" s="1" t="s">
        <v>45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-93.359180116672775</v>
      </c>
      <c r="K25">
        <v>-22.269491825882849</v>
      </c>
      <c r="L25">
        <v>27.590025260316139</v>
      </c>
      <c r="M25">
        <v>39.583876961840588</v>
      </c>
      <c r="N25">
        <v>44.132172379228592</v>
      </c>
      <c r="O25">
        <v>24.585127914039671</v>
      </c>
      <c r="P25">
        <v>-2.721440735106512</v>
      </c>
      <c r="Q25">
        <v>-86.162043251694385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</row>
    <row r="26" spans="1:25" x14ac:dyDescent="0.35">
      <c r="A26" s="1" t="s">
        <v>46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-11.949289354612519</v>
      </c>
      <c r="K26">
        <v>104.05556152618421</v>
      </c>
      <c r="L26">
        <v>181.8947995804632</v>
      </c>
      <c r="M26">
        <v>219.16730026555979</v>
      </c>
      <c r="N26">
        <v>207.93386081539319</v>
      </c>
      <c r="O26">
        <v>150.7019698410586</v>
      </c>
      <c r="P26">
        <v>90.565712416213103</v>
      </c>
      <c r="Q26">
        <v>-9.9906992145448044</v>
      </c>
      <c r="R26">
        <v>-149.86911794114971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</row>
    <row r="27" spans="1:25" x14ac:dyDescent="0.35">
      <c r="A27" s="1" t="s">
        <v>47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-89.396632851415077</v>
      </c>
      <c r="J27">
        <v>-0.74659132625785674</v>
      </c>
      <c r="K27">
        <v>126.6237980382196</v>
      </c>
      <c r="L27">
        <v>232.28596552358499</v>
      </c>
      <c r="M27">
        <v>323.57102982798159</v>
      </c>
      <c r="N27">
        <v>348.00066226022022</v>
      </c>
      <c r="O27">
        <v>251.26607483228511</v>
      </c>
      <c r="P27">
        <v>184.48836122560689</v>
      </c>
      <c r="Q27">
        <v>70.095513649827581</v>
      </c>
      <c r="R27">
        <v>-100.1578341526431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</row>
    <row r="28" spans="1:25" x14ac:dyDescent="0.35">
      <c r="A28" s="1" t="s">
        <v>48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-93.359180116672775</v>
      </c>
      <c r="K28">
        <v>-22.269491825882849</v>
      </c>
      <c r="L28">
        <v>27.590025260316139</v>
      </c>
      <c r="M28">
        <v>39.583876961840588</v>
      </c>
      <c r="N28">
        <v>44.132172379228592</v>
      </c>
      <c r="O28">
        <v>24.585127914039671</v>
      </c>
      <c r="P28">
        <v>-2.721440735106512</v>
      </c>
      <c r="Q28">
        <v>-86.162043251694385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</row>
    <row r="29" spans="1:25" x14ac:dyDescent="0.35">
      <c r="A29" s="1" t="s">
        <v>49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-11.949289354612519</v>
      </c>
      <c r="K29">
        <v>104.05556152618421</v>
      </c>
      <c r="L29">
        <v>181.8947995804632</v>
      </c>
      <c r="M29">
        <v>219.16730026555979</v>
      </c>
      <c r="N29">
        <v>207.93386081539319</v>
      </c>
      <c r="O29">
        <v>150.7019698410586</v>
      </c>
      <c r="P29">
        <v>90.565712416213103</v>
      </c>
      <c r="Q29">
        <v>-9.9906992145448044</v>
      </c>
      <c r="R29">
        <v>-149.86911794114971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</row>
    <row r="30" spans="1:25" x14ac:dyDescent="0.35">
      <c r="A30" s="1" t="s">
        <v>50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-89.396632851415077</v>
      </c>
      <c r="J30">
        <v>-0.74659132625785674</v>
      </c>
      <c r="K30">
        <v>126.6237980382196</v>
      </c>
      <c r="L30">
        <v>232.28596552358499</v>
      </c>
      <c r="M30">
        <v>323.57102982798159</v>
      </c>
      <c r="N30">
        <v>348.00066226022022</v>
      </c>
      <c r="O30">
        <v>251.26607483228511</v>
      </c>
      <c r="P30">
        <v>184.48836122560689</v>
      </c>
      <c r="Q30">
        <v>70.095513649827581</v>
      </c>
      <c r="R30">
        <v>-100.1578341526431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</row>
    <row r="31" spans="1:25" x14ac:dyDescent="0.35">
      <c r="A31" s="1" t="s">
        <v>51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-93.359180116672775</v>
      </c>
      <c r="K31">
        <v>-22.269491825882849</v>
      </c>
      <c r="L31">
        <v>27.590025260316139</v>
      </c>
      <c r="M31">
        <v>39.583876961840588</v>
      </c>
      <c r="N31">
        <v>44.132172379228592</v>
      </c>
      <c r="O31">
        <v>24.585127914039671</v>
      </c>
      <c r="P31">
        <v>-2.721440735106512</v>
      </c>
      <c r="Q31">
        <v>-86.162043251694385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</row>
    <row r="32" spans="1:25" x14ac:dyDescent="0.35">
      <c r="A32" s="1" t="s">
        <v>52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-11.949289354612519</v>
      </c>
      <c r="K32">
        <v>104.05556152618421</v>
      </c>
      <c r="L32">
        <v>181.8947995804632</v>
      </c>
      <c r="M32">
        <v>219.16730026555979</v>
      </c>
      <c r="N32">
        <v>207.93386081539319</v>
      </c>
      <c r="O32">
        <v>150.7019698410586</v>
      </c>
      <c r="P32">
        <v>90.565712416213103</v>
      </c>
      <c r="Q32">
        <v>-9.9906992145448044</v>
      </c>
      <c r="R32">
        <v>-149.86911794114971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</row>
    <row r="33" spans="1:25" x14ac:dyDescent="0.35">
      <c r="A33" s="1" t="s">
        <v>53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-89.396632851415077</v>
      </c>
      <c r="J33">
        <v>-0.74659132625785674</v>
      </c>
      <c r="K33">
        <v>126.6237980382196</v>
      </c>
      <c r="L33">
        <v>232.28596552358499</v>
      </c>
      <c r="M33">
        <v>323.57102982798159</v>
      </c>
      <c r="N33">
        <v>348.00066226022022</v>
      </c>
      <c r="O33">
        <v>251.26607483228511</v>
      </c>
      <c r="P33">
        <v>184.48836122560689</v>
      </c>
      <c r="Q33">
        <v>70.095513649827581</v>
      </c>
      <c r="R33">
        <v>-100.1578341526431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</row>
    <row r="34" spans="1:25" x14ac:dyDescent="0.35">
      <c r="A34" s="1" t="s">
        <v>54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-93.359180116672775</v>
      </c>
      <c r="K34">
        <v>-22.269491825882849</v>
      </c>
      <c r="L34">
        <v>27.590025260316139</v>
      </c>
      <c r="M34">
        <v>39.583876961840588</v>
      </c>
      <c r="N34">
        <v>44.132172379228592</v>
      </c>
      <c r="O34">
        <v>24.585127914039671</v>
      </c>
      <c r="P34">
        <v>-2.721440735106512</v>
      </c>
      <c r="Q34">
        <v>-86.162043251694385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</row>
    <row r="35" spans="1:25" x14ac:dyDescent="0.35">
      <c r="A35" s="1" t="s">
        <v>55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-11.949289354612519</v>
      </c>
      <c r="K35">
        <v>104.05556152618421</v>
      </c>
      <c r="L35">
        <v>181.8947995804632</v>
      </c>
      <c r="M35">
        <v>219.16730026555979</v>
      </c>
      <c r="N35">
        <v>207.93386081539319</v>
      </c>
      <c r="O35">
        <v>150.7019698410586</v>
      </c>
      <c r="P35">
        <v>90.565712416213103</v>
      </c>
      <c r="Q35">
        <v>-9.9906992145448044</v>
      </c>
      <c r="R35">
        <v>-149.86911794114971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</row>
    <row r="36" spans="1:25" x14ac:dyDescent="0.35">
      <c r="A36" s="1" t="s">
        <v>56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-89.396632851415077</v>
      </c>
      <c r="J36">
        <v>-0.74659132625785674</v>
      </c>
      <c r="K36">
        <v>126.6237980382196</v>
      </c>
      <c r="L36">
        <v>232.28596552358499</v>
      </c>
      <c r="M36">
        <v>323.57102982798159</v>
      </c>
      <c r="N36">
        <v>348.00066226022022</v>
      </c>
      <c r="O36">
        <v>251.26607483228511</v>
      </c>
      <c r="P36">
        <v>184.48836122560689</v>
      </c>
      <c r="Q36">
        <v>70.095513649827581</v>
      </c>
      <c r="R36">
        <v>-100.1578341526431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</row>
    <row r="37" spans="1:25" x14ac:dyDescent="0.35">
      <c r="A37" s="1" t="s">
        <v>57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-93.359180116672775</v>
      </c>
      <c r="K37">
        <v>-22.269491825882849</v>
      </c>
      <c r="L37">
        <v>27.590025260316139</v>
      </c>
      <c r="M37">
        <v>39.583876961840588</v>
      </c>
      <c r="N37">
        <v>44.132172379228592</v>
      </c>
      <c r="O37">
        <v>24.585127914039671</v>
      </c>
      <c r="P37">
        <v>-2.721440735106512</v>
      </c>
      <c r="Q37">
        <v>-86.162043251694385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</row>
    <row r="38" spans="1:25" x14ac:dyDescent="0.35">
      <c r="A38" s="1" t="s">
        <v>58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-11.949289354612519</v>
      </c>
      <c r="K38">
        <v>104.05556152618421</v>
      </c>
      <c r="L38">
        <v>181.8947995804632</v>
      </c>
      <c r="M38">
        <v>219.16730026555979</v>
      </c>
      <c r="N38">
        <v>207.93386081539319</v>
      </c>
      <c r="O38">
        <v>150.7019698410586</v>
      </c>
      <c r="P38">
        <v>90.565712416213103</v>
      </c>
      <c r="Q38">
        <v>-9.9906992145448044</v>
      </c>
      <c r="R38">
        <v>-149.86911794114971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</row>
    <row r="39" spans="1:25" x14ac:dyDescent="0.35">
      <c r="A39" s="1" t="s">
        <v>59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-89.396632851415077</v>
      </c>
      <c r="J39">
        <v>-0.74659132625785674</v>
      </c>
      <c r="K39">
        <v>126.6237980382196</v>
      </c>
      <c r="L39">
        <v>232.28596552358499</v>
      </c>
      <c r="M39">
        <v>323.57102982798159</v>
      </c>
      <c r="N39">
        <v>348.00066226022022</v>
      </c>
      <c r="O39">
        <v>251.26607483228511</v>
      </c>
      <c r="P39">
        <v>184.48836122560689</v>
      </c>
      <c r="Q39">
        <v>70.095513649827581</v>
      </c>
      <c r="R39">
        <v>-100.1578341526431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</row>
    <row r="40" spans="1:25" x14ac:dyDescent="0.35">
      <c r="A40" s="1" t="s">
        <v>60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-93.359180116672775</v>
      </c>
      <c r="K40">
        <v>-22.269491825882849</v>
      </c>
      <c r="L40">
        <v>27.590025260316139</v>
      </c>
      <c r="M40">
        <v>39.583876961840588</v>
      </c>
      <c r="N40">
        <v>44.132172379228592</v>
      </c>
      <c r="O40">
        <v>24.585127914039671</v>
      </c>
      <c r="P40">
        <v>-2.721440735106512</v>
      </c>
      <c r="Q40">
        <v>-86.162043251694385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</row>
    <row r="41" spans="1:25" x14ac:dyDescent="0.35">
      <c r="A41" s="1" t="s">
        <v>61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-11.949289354612519</v>
      </c>
      <c r="K41">
        <v>104.05556152618421</v>
      </c>
      <c r="L41">
        <v>181.8947995804632</v>
      </c>
      <c r="M41">
        <v>219.16730026555979</v>
      </c>
      <c r="N41">
        <v>207.93386081539319</v>
      </c>
      <c r="O41">
        <v>150.7019698410586</v>
      </c>
      <c r="P41">
        <v>90.565712416213103</v>
      </c>
      <c r="Q41">
        <v>-9.9906992145448044</v>
      </c>
      <c r="R41">
        <v>-149.86911794114971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</row>
    <row r="42" spans="1:25" x14ac:dyDescent="0.35">
      <c r="A42" s="1" t="s">
        <v>62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-89.396632851415077</v>
      </c>
      <c r="J42">
        <v>-0.74659132625785674</v>
      </c>
      <c r="K42">
        <v>126.6237980382196</v>
      </c>
      <c r="L42">
        <v>232.28596552358499</v>
      </c>
      <c r="M42">
        <v>323.57102982798159</v>
      </c>
      <c r="N42">
        <v>348.00066226022022</v>
      </c>
      <c r="O42">
        <v>251.26607483228511</v>
      </c>
      <c r="P42">
        <v>184.48836122560689</v>
      </c>
      <c r="Q42">
        <v>70.095513649827581</v>
      </c>
      <c r="R42">
        <v>-100.1578341526431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</row>
    <row r="43" spans="1:25" x14ac:dyDescent="0.35">
      <c r="A43" s="1" t="s">
        <v>63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-93.359180116672775</v>
      </c>
      <c r="K43">
        <v>-22.269491825882849</v>
      </c>
      <c r="L43">
        <v>27.590025260316139</v>
      </c>
      <c r="M43">
        <v>39.583876961840588</v>
      </c>
      <c r="N43">
        <v>44.132172379228592</v>
      </c>
      <c r="O43">
        <v>24.585127914039671</v>
      </c>
      <c r="P43">
        <v>-2.721440735106512</v>
      </c>
      <c r="Q43">
        <v>-86.162043251694385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</row>
    <row r="44" spans="1:25" x14ac:dyDescent="0.35">
      <c r="A44" s="1" t="s">
        <v>64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-11.949289354612519</v>
      </c>
      <c r="K44">
        <v>104.05556152618421</v>
      </c>
      <c r="L44">
        <v>181.8947995804632</v>
      </c>
      <c r="M44">
        <v>219.16730026555979</v>
      </c>
      <c r="N44">
        <v>207.93386081539319</v>
      </c>
      <c r="O44">
        <v>150.7019698410586</v>
      </c>
      <c r="P44">
        <v>90.565712416213103</v>
      </c>
      <c r="Q44">
        <v>-9.9906992145448044</v>
      </c>
      <c r="R44">
        <v>-149.86911794114971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</row>
    <row r="45" spans="1:25" x14ac:dyDescent="0.35">
      <c r="A45" s="1" t="s">
        <v>65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-89.396632851415077</v>
      </c>
      <c r="J45">
        <v>-0.74659132625785674</v>
      </c>
      <c r="K45">
        <v>126.6237980382196</v>
      </c>
      <c r="L45">
        <v>232.28596552358499</v>
      </c>
      <c r="M45">
        <v>323.57102982798159</v>
      </c>
      <c r="N45">
        <v>348.00066226022022</v>
      </c>
      <c r="O45">
        <v>251.26607483228511</v>
      </c>
      <c r="P45">
        <v>184.48836122560689</v>
      </c>
      <c r="Q45">
        <v>70.095513649827581</v>
      </c>
      <c r="R45">
        <v>-100.1578341526431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</row>
    <row r="46" spans="1:25" x14ac:dyDescent="0.35">
      <c r="A46" s="1" t="s">
        <v>66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-93.359180116672775</v>
      </c>
      <c r="K46">
        <v>-22.269491825882849</v>
      </c>
      <c r="L46">
        <v>27.590025260316139</v>
      </c>
      <c r="M46">
        <v>39.583876961840588</v>
      </c>
      <c r="N46">
        <v>44.132172379228592</v>
      </c>
      <c r="O46">
        <v>24.585127914039671</v>
      </c>
      <c r="P46">
        <v>-2.721440735106512</v>
      </c>
      <c r="Q46">
        <v>-86.162043251694385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7"/>
  <sheetViews>
    <sheetView topLeftCell="H31" workbookViewId="0">
      <selection activeCell="Z47" sqref="Z47"/>
    </sheetView>
  </sheetViews>
  <sheetFormatPr defaultRowHeight="14.5" x14ac:dyDescent="0.35"/>
  <cols>
    <col min="26" max="26" width="10.81640625" bestFit="1" customWidth="1"/>
  </cols>
  <sheetData>
    <row r="1" spans="1:2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6" x14ac:dyDescent="0.3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169.0966151720738</v>
      </c>
      <c r="K2">
        <v>324.14541257116468</v>
      </c>
      <c r="L2">
        <v>417.66121455045038</v>
      </c>
      <c r="M2">
        <v>449.51353349283249</v>
      </c>
      <c r="N2">
        <v>437.34692441198422</v>
      </c>
      <c r="O2">
        <v>380.80018126274541</v>
      </c>
      <c r="P2">
        <v>321.79870817148259</v>
      </c>
      <c r="Q2">
        <v>212.31499065990471</v>
      </c>
      <c r="R2">
        <v>65.716419872982428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f>SUM(B2:Y2)*199</f>
        <v>552900.40603295853</v>
      </c>
    </row>
    <row r="3" spans="1:26" x14ac:dyDescent="0.3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10.12574714858493</v>
      </c>
      <c r="J3">
        <v>126.09103534040879</v>
      </c>
      <c r="K3">
        <v>264.4652370125786</v>
      </c>
      <c r="L3">
        <v>370.84034530345917</v>
      </c>
      <c r="M3">
        <v>465.70506374999991</v>
      </c>
      <c r="N3">
        <v>479.34237434355362</v>
      </c>
      <c r="O3">
        <v>393.86231927672952</v>
      </c>
      <c r="P3">
        <v>318.46276863993722</v>
      </c>
      <c r="Q3">
        <v>210.0772877358491</v>
      </c>
      <c r="R3">
        <v>45.52166981132082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f>SUM(B3:Y3)*106</f>
        <v>284556.34792641667</v>
      </c>
    </row>
    <row r="4" spans="1:26" x14ac:dyDescent="0.3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33.636241322723329</v>
      </c>
      <c r="K4">
        <v>106.7437663446525</v>
      </c>
      <c r="L4">
        <v>162.4747015415544</v>
      </c>
      <c r="M4">
        <v>178.50966090944561</v>
      </c>
      <c r="N4">
        <v>171.81771684446181</v>
      </c>
      <c r="O4">
        <v>163.04166636588249</v>
      </c>
      <c r="P4">
        <v>135.0065633140411</v>
      </c>
      <c r="Q4">
        <v>65.342958377751458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f>SUM(B4:Y4)*60</f>
        <v>60994.396501230767</v>
      </c>
    </row>
    <row r="5" spans="1:26" x14ac:dyDescent="0.3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169.0966151720738</v>
      </c>
      <c r="K5">
        <v>324.14541257116468</v>
      </c>
      <c r="L5">
        <v>417.66121455045038</v>
      </c>
      <c r="M5">
        <v>449.51353349283249</v>
      </c>
      <c r="N5">
        <v>437.34692441198422</v>
      </c>
      <c r="O5">
        <v>380.80018126274541</v>
      </c>
      <c r="P5">
        <v>321.79870817148259</v>
      </c>
      <c r="Q5">
        <v>212.31499065990471</v>
      </c>
      <c r="R5">
        <v>65.716419872982428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f t="shared" ref="Z5" si="0">SUM(B5:Y5)*199</f>
        <v>552900.40603295853</v>
      </c>
    </row>
    <row r="6" spans="1:26" x14ac:dyDescent="0.3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10.12574714858493</v>
      </c>
      <c r="J6">
        <v>126.09103534040879</v>
      </c>
      <c r="K6">
        <v>264.4652370125786</v>
      </c>
      <c r="L6">
        <v>370.84034530345917</v>
      </c>
      <c r="M6">
        <v>465.70506374999991</v>
      </c>
      <c r="N6">
        <v>479.34237434355362</v>
      </c>
      <c r="O6">
        <v>393.86231927672952</v>
      </c>
      <c r="P6">
        <v>318.46276863993722</v>
      </c>
      <c r="Q6">
        <v>210.0772877358491</v>
      </c>
      <c r="R6">
        <v>45.52166981132082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f t="shared" ref="Z6" si="1">SUM(B6:Y6)*106</f>
        <v>284556.34792641667</v>
      </c>
    </row>
    <row r="7" spans="1:26" x14ac:dyDescent="0.3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33.636241322723329</v>
      </c>
      <c r="K7">
        <v>106.7437663446525</v>
      </c>
      <c r="L7">
        <v>162.4747015415544</v>
      </c>
      <c r="M7">
        <v>178.50966090944561</v>
      </c>
      <c r="N7">
        <v>171.81771684446181</v>
      </c>
      <c r="O7">
        <v>163.04166636588249</v>
      </c>
      <c r="P7">
        <v>135.0065633140411</v>
      </c>
      <c r="Q7">
        <v>65.342958377751458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f t="shared" ref="Z7" si="2">SUM(B7:Y7)*60</f>
        <v>60994.396501230767</v>
      </c>
    </row>
    <row r="8" spans="1:26" x14ac:dyDescent="0.3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169.0966151720738</v>
      </c>
      <c r="K8">
        <v>324.14541257116468</v>
      </c>
      <c r="L8">
        <v>417.66121455045038</v>
      </c>
      <c r="M8">
        <v>449.51353349283249</v>
      </c>
      <c r="N8">
        <v>437.34692441198422</v>
      </c>
      <c r="O8">
        <v>380.80018126274541</v>
      </c>
      <c r="P8">
        <v>321.79870817148259</v>
      </c>
      <c r="Q8">
        <v>212.31499065990471</v>
      </c>
      <c r="R8">
        <v>65.716419872982428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f t="shared" ref="Z8" si="3">SUM(B8:Y8)*199</f>
        <v>552900.40603295853</v>
      </c>
    </row>
    <row r="9" spans="1:26" x14ac:dyDescent="0.3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10.12574714858493</v>
      </c>
      <c r="J9">
        <v>126.09103534040879</v>
      </c>
      <c r="K9">
        <v>264.4652370125786</v>
      </c>
      <c r="L9">
        <v>370.84034530345917</v>
      </c>
      <c r="M9">
        <v>465.70506374999991</v>
      </c>
      <c r="N9">
        <v>479.34237434355362</v>
      </c>
      <c r="O9">
        <v>393.86231927672952</v>
      </c>
      <c r="P9">
        <v>318.46276863993722</v>
      </c>
      <c r="Q9">
        <v>210.0772877358491</v>
      </c>
      <c r="R9">
        <v>45.52166981132082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f t="shared" ref="Z9" si="4">SUM(B9:Y9)*106</f>
        <v>284556.34792641667</v>
      </c>
    </row>
    <row r="10" spans="1:26" x14ac:dyDescent="0.3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33.636241322723329</v>
      </c>
      <c r="K10">
        <v>106.7437663446525</v>
      </c>
      <c r="L10">
        <v>162.4747015415544</v>
      </c>
      <c r="M10">
        <v>178.50966090944561</v>
      </c>
      <c r="N10">
        <v>171.81771684446181</v>
      </c>
      <c r="O10">
        <v>163.04166636588249</v>
      </c>
      <c r="P10">
        <v>135.0065633140411</v>
      </c>
      <c r="Q10">
        <v>65.342958377751458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f t="shared" ref="Z10" si="5">SUM(B10:Y10)*60</f>
        <v>60994.396501230767</v>
      </c>
    </row>
    <row r="11" spans="1:26" x14ac:dyDescent="0.3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169.0966151720738</v>
      </c>
      <c r="K11">
        <v>324.14541257116468</v>
      </c>
      <c r="L11">
        <v>417.66121455045038</v>
      </c>
      <c r="M11">
        <v>449.51353349283249</v>
      </c>
      <c r="N11">
        <v>437.34692441198422</v>
      </c>
      <c r="O11">
        <v>380.80018126274541</v>
      </c>
      <c r="P11">
        <v>321.79870817148259</v>
      </c>
      <c r="Q11">
        <v>212.31499065990471</v>
      </c>
      <c r="R11">
        <v>65.716419872982428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f t="shared" ref="Z11" si="6">SUM(B11:Y11)*199</f>
        <v>552900.40603295853</v>
      </c>
    </row>
    <row r="12" spans="1:26" x14ac:dyDescent="0.3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10.12574714858493</v>
      </c>
      <c r="J12">
        <v>126.09103534040879</v>
      </c>
      <c r="K12">
        <v>264.4652370125786</v>
      </c>
      <c r="L12">
        <v>370.84034530345917</v>
      </c>
      <c r="M12">
        <v>465.70506374999991</v>
      </c>
      <c r="N12">
        <v>479.34237434355362</v>
      </c>
      <c r="O12">
        <v>393.86231927672952</v>
      </c>
      <c r="P12">
        <v>318.46276863993722</v>
      </c>
      <c r="Q12">
        <v>210.0772877358491</v>
      </c>
      <c r="R12">
        <v>45.52166981132082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f t="shared" ref="Z12" si="7">SUM(B12:Y12)*106</f>
        <v>284556.34792641667</v>
      </c>
    </row>
    <row r="13" spans="1:26" x14ac:dyDescent="0.3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33.636241322723329</v>
      </c>
      <c r="K13">
        <v>106.7437663446525</v>
      </c>
      <c r="L13">
        <v>162.4747015415544</v>
      </c>
      <c r="M13">
        <v>178.50966090944561</v>
      </c>
      <c r="N13">
        <v>171.81771684446181</v>
      </c>
      <c r="O13">
        <v>163.04166636588249</v>
      </c>
      <c r="P13">
        <v>135.0065633140411</v>
      </c>
      <c r="Q13">
        <v>65.342958377751458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f t="shared" ref="Z13" si="8">SUM(B13:Y13)*60</f>
        <v>60994.396501230767</v>
      </c>
    </row>
    <row r="14" spans="1:26" x14ac:dyDescent="0.3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169.0966151720738</v>
      </c>
      <c r="K14">
        <v>324.14541257116468</v>
      </c>
      <c r="L14">
        <v>417.66121455045038</v>
      </c>
      <c r="M14">
        <v>449.51353349283249</v>
      </c>
      <c r="N14">
        <v>437.34692441198422</v>
      </c>
      <c r="O14">
        <v>380.80018126274541</v>
      </c>
      <c r="P14">
        <v>321.79870817148259</v>
      </c>
      <c r="Q14">
        <v>212.31499065990471</v>
      </c>
      <c r="R14">
        <v>65.716419872982428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f t="shared" ref="Z14" si="9">SUM(B14:Y14)*199</f>
        <v>552900.40603295853</v>
      </c>
    </row>
    <row r="15" spans="1:26" x14ac:dyDescent="0.3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10.12574714858493</v>
      </c>
      <c r="J15">
        <v>126.09103534040879</v>
      </c>
      <c r="K15">
        <v>264.4652370125786</v>
      </c>
      <c r="L15">
        <v>370.84034530345917</v>
      </c>
      <c r="M15">
        <v>465.70506374999991</v>
      </c>
      <c r="N15">
        <v>479.34237434355362</v>
      </c>
      <c r="O15">
        <v>393.86231927672952</v>
      </c>
      <c r="P15">
        <v>318.46276863993722</v>
      </c>
      <c r="Q15">
        <v>210.0772877358491</v>
      </c>
      <c r="R15">
        <v>45.52166981132082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f t="shared" ref="Z15" si="10">SUM(B15:Y15)*106</f>
        <v>284556.34792641667</v>
      </c>
    </row>
    <row r="16" spans="1:26" x14ac:dyDescent="0.3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33.636241322723329</v>
      </c>
      <c r="K16">
        <v>106.7437663446525</v>
      </c>
      <c r="L16">
        <v>162.4747015415544</v>
      </c>
      <c r="M16">
        <v>178.50966090944561</v>
      </c>
      <c r="N16">
        <v>171.81771684446181</v>
      </c>
      <c r="O16">
        <v>163.04166636588249</v>
      </c>
      <c r="P16">
        <v>135.0065633140411</v>
      </c>
      <c r="Q16">
        <v>65.342958377751458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f t="shared" ref="Z16" si="11">SUM(B16:Y16)*60</f>
        <v>60994.396501230767</v>
      </c>
    </row>
    <row r="17" spans="1:26" x14ac:dyDescent="0.3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169.0966151720738</v>
      </c>
      <c r="K17">
        <v>324.14541257116468</v>
      </c>
      <c r="L17">
        <v>417.66121455045038</v>
      </c>
      <c r="M17">
        <v>449.51353349283249</v>
      </c>
      <c r="N17">
        <v>437.34692441198422</v>
      </c>
      <c r="O17">
        <v>380.80018126274541</v>
      </c>
      <c r="P17">
        <v>321.79870817148259</v>
      </c>
      <c r="Q17">
        <v>212.31499065990471</v>
      </c>
      <c r="R17">
        <v>65.716419872982428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f t="shared" ref="Z17" si="12">SUM(B17:Y17)*199</f>
        <v>552900.40603295853</v>
      </c>
    </row>
    <row r="18" spans="1:26" x14ac:dyDescent="0.3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10.12574714858493</v>
      </c>
      <c r="J18">
        <v>126.09103534040879</v>
      </c>
      <c r="K18">
        <v>264.4652370125786</v>
      </c>
      <c r="L18">
        <v>370.84034530345917</v>
      </c>
      <c r="M18">
        <v>465.70506374999991</v>
      </c>
      <c r="N18">
        <v>479.34237434355362</v>
      </c>
      <c r="O18">
        <v>393.86231927672952</v>
      </c>
      <c r="P18">
        <v>318.46276863993722</v>
      </c>
      <c r="Q18">
        <v>210.0772877358491</v>
      </c>
      <c r="R18">
        <v>45.52166981132082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f t="shared" ref="Z18" si="13">SUM(B18:Y18)*106</f>
        <v>284556.34792641667</v>
      </c>
    </row>
    <row r="19" spans="1:26" x14ac:dyDescent="0.3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33.636241322723329</v>
      </c>
      <c r="K19">
        <v>106.7437663446525</v>
      </c>
      <c r="L19">
        <v>162.4747015415544</v>
      </c>
      <c r="M19">
        <v>178.50966090944561</v>
      </c>
      <c r="N19">
        <v>171.81771684446181</v>
      </c>
      <c r="O19">
        <v>163.04166636588249</v>
      </c>
      <c r="P19">
        <v>135.0065633140411</v>
      </c>
      <c r="Q19">
        <v>65.342958377751458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f t="shared" ref="Z19" si="14">SUM(B19:Y19)*60</f>
        <v>60994.396501230767</v>
      </c>
    </row>
    <row r="20" spans="1:26" x14ac:dyDescent="0.3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169.0966151720738</v>
      </c>
      <c r="K20">
        <v>324.14541257116468</v>
      </c>
      <c r="L20">
        <v>417.66121455045038</v>
      </c>
      <c r="M20">
        <v>449.51353349283249</v>
      </c>
      <c r="N20">
        <v>437.34692441198422</v>
      </c>
      <c r="O20">
        <v>380.80018126274541</v>
      </c>
      <c r="P20">
        <v>321.79870817148259</v>
      </c>
      <c r="Q20">
        <v>212.31499065990471</v>
      </c>
      <c r="R20">
        <v>65.716419872982428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f t="shared" ref="Z20" si="15">SUM(B20:Y20)*199</f>
        <v>552900.40603295853</v>
      </c>
    </row>
    <row r="21" spans="1:26" x14ac:dyDescent="0.3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10.12574714858493</v>
      </c>
      <c r="J21">
        <v>126.09103534040879</v>
      </c>
      <c r="K21">
        <v>264.4652370125786</v>
      </c>
      <c r="L21">
        <v>370.84034530345917</v>
      </c>
      <c r="M21">
        <v>465.70506374999991</v>
      </c>
      <c r="N21">
        <v>479.34237434355362</v>
      </c>
      <c r="O21">
        <v>393.86231927672952</v>
      </c>
      <c r="P21">
        <v>318.46276863993722</v>
      </c>
      <c r="Q21">
        <v>210.0772877358491</v>
      </c>
      <c r="R21">
        <v>45.52166981132082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f t="shared" ref="Z21" si="16">SUM(B21:Y21)*106</f>
        <v>284556.34792641667</v>
      </c>
    </row>
    <row r="22" spans="1:26" x14ac:dyDescent="0.3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33.636241322723329</v>
      </c>
      <c r="K22">
        <v>106.7437663446525</v>
      </c>
      <c r="L22">
        <v>162.4747015415544</v>
      </c>
      <c r="M22">
        <v>178.50966090944561</v>
      </c>
      <c r="N22">
        <v>171.81771684446181</v>
      </c>
      <c r="O22">
        <v>163.04166636588249</v>
      </c>
      <c r="P22">
        <v>135.0065633140411</v>
      </c>
      <c r="Q22">
        <v>65.342958377751458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f t="shared" ref="Z22" si="17">SUM(B22:Y22)*60</f>
        <v>60994.396501230767</v>
      </c>
    </row>
    <row r="23" spans="1:26" x14ac:dyDescent="0.3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169.0966151720738</v>
      </c>
      <c r="K23">
        <v>324.14541257116468</v>
      </c>
      <c r="L23">
        <v>417.66121455045038</v>
      </c>
      <c r="M23">
        <v>449.51353349283249</v>
      </c>
      <c r="N23">
        <v>437.34692441198422</v>
      </c>
      <c r="O23">
        <v>380.80018126274541</v>
      </c>
      <c r="P23">
        <v>321.79870817148259</v>
      </c>
      <c r="Q23">
        <v>212.31499065990471</v>
      </c>
      <c r="R23">
        <v>65.716419872982428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f t="shared" ref="Z23" si="18">SUM(B23:Y23)*199</f>
        <v>552900.40603295853</v>
      </c>
    </row>
    <row r="24" spans="1:26" x14ac:dyDescent="0.3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10.12574714858493</v>
      </c>
      <c r="J24">
        <v>126.09103534040879</v>
      </c>
      <c r="K24">
        <v>264.4652370125786</v>
      </c>
      <c r="L24">
        <v>370.84034530345917</v>
      </c>
      <c r="M24">
        <v>465.70506374999991</v>
      </c>
      <c r="N24">
        <v>479.34237434355362</v>
      </c>
      <c r="O24">
        <v>393.86231927672952</v>
      </c>
      <c r="P24">
        <v>318.46276863993722</v>
      </c>
      <c r="Q24">
        <v>210.0772877358491</v>
      </c>
      <c r="R24">
        <v>45.52166981132082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f t="shared" ref="Z24" si="19">SUM(B24:Y24)*106</f>
        <v>284556.34792641667</v>
      </c>
    </row>
    <row r="25" spans="1:26" x14ac:dyDescent="0.3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33.636241322723329</v>
      </c>
      <c r="K25">
        <v>106.7437663446525</v>
      </c>
      <c r="L25">
        <v>162.4747015415544</v>
      </c>
      <c r="M25">
        <v>178.50966090944561</v>
      </c>
      <c r="N25">
        <v>171.81771684446181</v>
      </c>
      <c r="O25">
        <v>163.04166636588249</v>
      </c>
      <c r="P25">
        <v>135.0065633140411</v>
      </c>
      <c r="Q25">
        <v>65.342958377751458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f t="shared" ref="Z25" si="20">SUM(B25:Y25)*60</f>
        <v>60994.396501230767</v>
      </c>
    </row>
    <row r="26" spans="1:26" x14ac:dyDescent="0.3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169.0966151720738</v>
      </c>
      <c r="K26">
        <v>324.14541257116468</v>
      </c>
      <c r="L26">
        <v>417.66121455045038</v>
      </c>
      <c r="M26">
        <v>449.51353349283249</v>
      </c>
      <c r="N26">
        <v>437.34692441198422</v>
      </c>
      <c r="O26">
        <v>380.80018126274541</v>
      </c>
      <c r="P26">
        <v>321.79870817148259</v>
      </c>
      <c r="Q26">
        <v>212.31499065990471</v>
      </c>
      <c r="R26">
        <v>65.716419872982428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f t="shared" ref="Z26" si="21">SUM(B26:Y26)*199</f>
        <v>552900.40603295853</v>
      </c>
    </row>
    <row r="27" spans="1:26" x14ac:dyDescent="0.3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10.12574714858493</v>
      </c>
      <c r="J27">
        <v>126.09103534040879</v>
      </c>
      <c r="K27">
        <v>264.4652370125786</v>
      </c>
      <c r="L27">
        <v>370.84034530345917</v>
      </c>
      <c r="M27">
        <v>465.70506374999991</v>
      </c>
      <c r="N27">
        <v>479.34237434355362</v>
      </c>
      <c r="O27">
        <v>393.86231927672952</v>
      </c>
      <c r="P27">
        <v>318.46276863993722</v>
      </c>
      <c r="Q27">
        <v>210.0772877358491</v>
      </c>
      <c r="R27">
        <v>45.52166981132082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f t="shared" ref="Z27" si="22">SUM(B27:Y27)*106</f>
        <v>284556.34792641667</v>
      </c>
    </row>
    <row r="28" spans="1:26" x14ac:dyDescent="0.3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33.636241322723329</v>
      </c>
      <c r="K28">
        <v>106.7437663446525</v>
      </c>
      <c r="L28">
        <v>162.4747015415544</v>
      </c>
      <c r="M28">
        <v>178.50966090944561</v>
      </c>
      <c r="N28">
        <v>171.81771684446181</v>
      </c>
      <c r="O28">
        <v>163.04166636588249</v>
      </c>
      <c r="P28">
        <v>135.0065633140411</v>
      </c>
      <c r="Q28">
        <v>65.342958377751458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f t="shared" ref="Z28" si="23">SUM(B28:Y28)*60</f>
        <v>60994.396501230767</v>
      </c>
    </row>
    <row r="29" spans="1:26" x14ac:dyDescent="0.3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169.0966151720738</v>
      </c>
      <c r="K29">
        <v>324.14541257116468</v>
      </c>
      <c r="L29">
        <v>417.66121455045038</v>
      </c>
      <c r="M29">
        <v>449.51353349283249</v>
      </c>
      <c r="N29">
        <v>437.34692441198422</v>
      </c>
      <c r="O29">
        <v>380.80018126274541</v>
      </c>
      <c r="P29">
        <v>321.79870817148259</v>
      </c>
      <c r="Q29">
        <v>212.31499065990471</v>
      </c>
      <c r="R29">
        <v>65.716419872982428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f t="shared" ref="Z29" si="24">SUM(B29:Y29)*199</f>
        <v>552900.40603295853</v>
      </c>
    </row>
    <row r="30" spans="1:26" x14ac:dyDescent="0.3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10.12574714858493</v>
      </c>
      <c r="J30">
        <v>126.09103534040879</v>
      </c>
      <c r="K30">
        <v>264.4652370125786</v>
      </c>
      <c r="L30">
        <v>370.84034530345917</v>
      </c>
      <c r="M30">
        <v>465.70506374999991</v>
      </c>
      <c r="N30">
        <v>479.34237434355362</v>
      </c>
      <c r="O30">
        <v>393.86231927672952</v>
      </c>
      <c r="P30">
        <v>318.46276863993722</v>
      </c>
      <c r="Q30">
        <v>210.0772877358491</v>
      </c>
      <c r="R30">
        <v>45.52166981132082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f t="shared" ref="Z30" si="25">SUM(B30:Y30)*106</f>
        <v>284556.34792641667</v>
      </c>
    </row>
    <row r="31" spans="1:26" x14ac:dyDescent="0.3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33.636241322723329</v>
      </c>
      <c r="K31">
        <v>106.7437663446525</v>
      </c>
      <c r="L31">
        <v>162.4747015415544</v>
      </c>
      <c r="M31">
        <v>178.50966090944561</v>
      </c>
      <c r="N31">
        <v>171.81771684446181</v>
      </c>
      <c r="O31">
        <v>163.04166636588249</v>
      </c>
      <c r="P31">
        <v>135.0065633140411</v>
      </c>
      <c r="Q31">
        <v>65.342958377751458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f t="shared" ref="Z31" si="26">SUM(B31:Y31)*60</f>
        <v>60994.396501230767</v>
      </c>
    </row>
    <row r="32" spans="1:26" x14ac:dyDescent="0.3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169.0966151720738</v>
      </c>
      <c r="K32">
        <v>324.14541257116468</v>
      </c>
      <c r="L32">
        <v>417.66121455045038</v>
      </c>
      <c r="M32">
        <v>449.51353349283249</v>
      </c>
      <c r="N32">
        <v>437.34692441198422</v>
      </c>
      <c r="O32">
        <v>380.80018126274541</v>
      </c>
      <c r="P32">
        <v>321.79870817148259</v>
      </c>
      <c r="Q32">
        <v>212.31499065990471</v>
      </c>
      <c r="R32">
        <v>65.716419872982428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f t="shared" ref="Z32" si="27">SUM(B32:Y32)*199</f>
        <v>552900.40603295853</v>
      </c>
    </row>
    <row r="33" spans="1:26" x14ac:dyDescent="0.3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10.12574714858493</v>
      </c>
      <c r="J33">
        <v>126.09103534040879</v>
      </c>
      <c r="K33">
        <v>264.4652370125786</v>
      </c>
      <c r="L33">
        <v>370.84034530345917</v>
      </c>
      <c r="M33">
        <v>465.70506374999991</v>
      </c>
      <c r="N33">
        <v>479.34237434355362</v>
      </c>
      <c r="O33">
        <v>393.86231927672952</v>
      </c>
      <c r="P33">
        <v>318.46276863993722</v>
      </c>
      <c r="Q33">
        <v>210.0772877358491</v>
      </c>
      <c r="R33">
        <v>45.52166981132082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f t="shared" ref="Z33" si="28">SUM(B33:Y33)*106</f>
        <v>284556.34792641667</v>
      </c>
    </row>
    <row r="34" spans="1:26" x14ac:dyDescent="0.3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33.636241322723329</v>
      </c>
      <c r="K34">
        <v>106.7437663446525</v>
      </c>
      <c r="L34">
        <v>162.4747015415544</v>
      </c>
      <c r="M34">
        <v>178.50966090944561</v>
      </c>
      <c r="N34">
        <v>171.81771684446181</v>
      </c>
      <c r="O34">
        <v>163.04166636588249</v>
      </c>
      <c r="P34">
        <v>135.0065633140411</v>
      </c>
      <c r="Q34">
        <v>65.342958377751458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f t="shared" ref="Z34" si="29">SUM(B34:Y34)*60</f>
        <v>60994.396501230767</v>
      </c>
    </row>
    <row r="35" spans="1:26" x14ac:dyDescent="0.3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169.0966151720738</v>
      </c>
      <c r="K35">
        <v>324.14541257116468</v>
      </c>
      <c r="L35">
        <v>417.66121455045038</v>
      </c>
      <c r="M35">
        <v>449.51353349283249</v>
      </c>
      <c r="N35">
        <v>437.34692441198422</v>
      </c>
      <c r="O35">
        <v>380.80018126274541</v>
      </c>
      <c r="P35">
        <v>321.79870817148259</v>
      </c>
      <c r="Q35">
        <v>212.31499065990471</v>
      </c>
      <c r="R35">
        <v>65.716419872982428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f t="shared" ref="Z35" si="30">SUM(B35:Y35)*199</f>
        <v>552900.40603295853</v>
      </c>
    </row>
    <row r="36" spans="1:26" x14ac:dyDescent="0.3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10.12574714858493</v>
      </c>
      <c r="J36">
        <v>126.09103534040879</v>
      </c>
      <c r="K36">
        <v>264.4652370125786</v>
      </c>
      <c r="L36">
        <v>370.84034530345917</v>
      </c>
      <c r="M36">
        <v>465.70506374999991</v>
      </c>
      <c r="N36">
        <v>479.34237434355362</v>
      </c>
      <c r="O36">
        <v>393.86231927672952</v>
      </c>
      <c r="P36">
        <v>318.46276863993722</v>
      </c>
      <c r="Q36">
        <v>210.0772877358491</v>
      </c>
      <c r="R36">
        <v>45.52166981132082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f t="shared" ref="Z36" si="31">SUM(B36:Y36)*106</f>
        <v>284556.34792641667</v>
      </c>
    </row>
    <row r="37" spans="1:26" x14ac:dyDescent="0.3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33.636241322723329</v>
      </c>
      <c r="K37">
        <v>106.7437663446525</v>
      </c>
      <c r="L37">
        <v>162.4747015415544</v>
      </c>
      <c r="M37">
        <v>178.50966090944561</v>
      </c>
      <c r="N37">
        <v>171.81771684446181</v>
      </c>
      <c r="O37">
        <v>163.04166636588249</v>
      </c>
      <c r="P37">
        <v>135.0065633140411</v>
      </c>
      <c r="Q37">
        <v>65.342958377751458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f t="shared" ref="Z37" si="32">SUM(B37:Y37)*60</f>
        <v>60994.396501230767</v>
      </c>
    </row>
    <row r="38" spans="1:26" x14ac:dyDescent="0.3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169.0966151720738</v>
      </c>
      <c r="K38">
        <v>324.14541257116468</v>
      </c>
      <c r="L38">
        <v>417.66121455045038</v>
      </c>
      <c r="M38">
        <v>449.51353349283249</v>
      </c>
      <c r="N38">
        <v>437.34692441198422</v>
      </c>
      <c r="O38">
        <v>380.80018126274541</v>
      </c>
      <c r="P38">
        <v>321.79870817148259</v>
      </c>
      <c r="Q38">
        <v>212.31499065990471</v>
      </c>
      <c r="R38">
        <v>65.716419872982428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f t="shared" ref="Z38" si="33">SUM(B38:Y38)*199</f>
        <v>552900.40603295853</v>
      </c>
    </row>
    <row r="39" spans="1:26" x14ac:dyDescent="0.3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10.12574714858493</v>
      </c>
      <c r="J39">
        <v>126.09103534040879</v>
      </c>
      <c r="K39">
        <v>264.4652370125786</v>
      </c>
      <c r="L39">
        <v>370.84034530345917</v>
      </c>
      <c r="M39">
        <v>465.70506374999991</v>
      </c>
      <c r="N39">
        <v>479.34237434355362</v>
      </c>
      <c r="O39">
        <v>393.86231927672952</v>
      </c>
      <c r="P39">
        <v>318.46276863993722</v>
      </c>
      <c r="Q39">
        <v>210.0772877358491</v>
      </c>
      <c r="R39">
        <v>45.52166981132082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f t="shared" ref="Z39" si="34">SUM(B39:Y39)*106</f>
        <v>284556.34792641667</v>
      </c>
    </row>
    <row r="40" spans="1:26" x14ac:dyDescent="0.3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33.636241322723329</v>
      </c>
      <c r="K40">
        <v>106.7437663446525</v>
      </c>
      <c r="L40">
        <v>162.4747015415544</v>
      </c>
      <c r="M40">
        <v>178.50966090944561</v>
      </c>
      <c r="N40">
        <v>171.81771684446181</v>
      </c>
      <c r="O40">
        <v>163.04166636588249</v>
      </c>
      <c r="P40">
        <v>135.0065633140411</v>
      </c>
      <c r="Q40">
        <v>65.342958377751458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f t="shared" ref="Z40" si="35">SUM(B40:Y40)*60</f>
        <v>60994.396501230767</v>
      </c>
    </row>
    <row r="41" spans="1:26" x14ac:dyDescent="0.3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169.0966151720738</v>
      </c>
      <c r="K41">
        <v>324.14541257116468</v>
      </c>
      <c r="L41">
        <v>417.66121455045038</v>
      </c>
      <c r="M41">
        <v>449.51353349283249</v>
      </c>
      <c r="N41">
        <v>437.34692441198422</v>
      </c>
      <c r="O41">
        <v>380.80018126274541</v>
      </c>
      <c r="P41">
        <v>321.79870817148259</v>
      </c>
      <c r="Q41">
        <v>212.31499065990471</v>
      </c>
      <c r="R41">
        <v>65.716419872982428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f t="shared" ref="Z41" si="36">SUM(B41:Y41)*199</f>
        <v>552900.40603295853</v>
      </c>
    </row>
    <row r="42" spans="1:26" x14ac:dyDescent="0.3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10.12574714858493</v>
      </c>
      <c r="J42">
        <v>126.09103534040879</v>
      </c>
      <c r="K42">
        <v>264.4652370125786</v>
      </c>
      <c r="L42">
        <v>370.84034530345917</v>
      </c>
      <c r="M42">
        <v>465.70506374999991</v>
      </c>
      <c r="N42">
        <v>479.34237434355362</v>
      </c>
      <c r="O42">
        <v>393.86231927672952</v>
      </c>
      <c r="P42">
        <v>318.46276863993722</v>
      </c>
      <c r="Q42">
        <v>210.0772877358491</v>
      </c>
      <c r="R42">
        <v>45.52166981132082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f t="shared" ref="Z42" si="37">SUM(B42:Y42)*106</f>
        <v>284556.34792641667</v>
      </c>
    </row>
    <row r="43" spans="1:26" x14ac:dyDescent="0.3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33.636241322723329</v>
      </c>
      <c r="K43">
        <v>106.7437663446525</v>
      </c>
      <c r="L43">
        <v>162.4747015415544</v>
      </c>
      <c r="M43">
        <v>178.50966090944561</v>
      </c>
      <c r="N43">
        <v>171.81771684446181</v>
      </c>
      <c r="O43">
        <v>163.04166636588249</v>
      </c>
      <c r="P43">
        <v>135.0065633140411</v>
      </c>
      <c r="Q43">
        <v>65.342958377751458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f t="shared" ref="Z43" si="38">SUM(B43:Y43)*60</f>
        <v>60994.396501230767</v>
      </c>
    </row>
    <row r="44" spans="1:26" x14ac:dyDescent="0.3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169.0966151720738</v>
      </c>
      <c r="K44">
        <v>324.14541257116468</v>
      </c>
      <c r="L44">
        <v>417.66121455045038</v>
      </c>
      <c r="M44">
        <v>449.51353349283249</v>
      </c>
      <c r="N44">
        <v>437.34692441198422</v>
      </c>
      <c r="O44">
        <v>380.80018126274541</v>
      </c>
      <c r="P44">
        <v>321.79870817148259</v>
      </c>
      <c r="Q44">
        <v>212.31499065990471</v>
      </c>
      <c r="R44">
        <v>65.716419872982428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f t="shared" ref="Z44" si="39">SUM(B44:Y44)*199</f>
        <v>552900.40603295853</v>
      </c>
    </row>
    <row r="45" spans="1:26" x14ac:dyDescent="0.3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10.12574714858493</v>
      </c>
      <c r="J45">
        <v>126.09103534040879</v>
      </c>
      <c r="K45">
        <v>264.4652370125786</v>
      </c>
      <c r="L45">
        <v>370.84034530345917</v>
      </c>
      <c r="M45">
        <v>465.70506374999991</v>
      </c>
      <c r="N45">
        <v>479.34237434355362</v>
      </c>
      <c r="O45">
        <v>393.86231927672952</v>
      </c>
      <c r="P45">
        <v>318.46276863993722</v>
      </c>
      <c r="Q45">
        <v>210.0772877358491</v>
      </c>
      <c r="R45">
        <v>45.52166981132082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f t="shared" ref="Z45" si="40">SUM(B45:Y45)*106</f>
        <v>284556.34792641667</v>
      </c>
    </row>
    <row r="46" spans="1:26" x14ac:dyDescent="0.3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33.636241322723329</v>
      </c>
      <c r="K46">
        <v>106.7437663446525</v>
      </c>
      <c r="L46">
        <v>162.4747015415544</v>
      </c>
      <c r="M46">
        <v>178.50966090944561</v>
      </c>
      <c r="N46">
        <v>171.81771684446181</v>
      </c>
      <c r="O46">
        <v>163.04166636588249</v>
      </c>
      <c r="P46">
        <v>135.0065633140411</v>
      </c>
      <c r="Q46">
        <v>65.342958377751458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f t="shared" ref="Z46" si="41">SUM(B46:Y46)*60</f>
        <v>60994.396501230767</v>
      </c>
    </row>
    <row r="47" spans="1:26" x14ac:dyDescent="0.35">
      <c r="Z47">
        <f>SUM(Z2:Z46)</f>
        <v>13476767.256909093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31</v>
      </c>
      <c r="B11">
        <v>256.02294149284978</v>
      </c>
      <c r="C11">
        <v>0</v>
      </c>
      <c r="D11">
        <v>227.97214145005219</v>
      </c>
      <c r="E11">
        <v>255.21946990163099</v>
      </c>
      <c r="F11">
        <v>280.1651455710807</v>
      </c>
      <c r="G11">
        <v>96.336512034622729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243.0202005078383</v>
      </c>
      <c r="Y11">
        <v>259.52703848542279</v>
      </c>
    </row>
    <row r="12" spans="1:25" x14ac:dyDescent="0.3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34</v>
      </c>
      <c r="B14">
        <v>0</v>
      </c>
      <c r="C14">
        <v>238.56199160037681</v>
      </c>
      <c r="D14">
        <v>227.97214145005219</v>
      </c>
      <c r="E14">
        <v>255.21946990163099</v>
      </c>
      <c r="F14">
        <v>280.1651455710807</v>
      </c>
      <c r="G14">
        <v>0</v>
      </c>
      <c r="H14">
        <v>208.14580261669391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72.033574303017602</v>
      </c>
      <c r="T14">
        <v>94.410997990082365</v>
      </c>
      <c r="U14">
        <v>0</v>
      </c>
      <c r="V14">
        <v>201.0413582995042</v>
      </c>
      <c r="W14">
        <v>0</v>
      </c>
      <c r="X14">
        <v>0</v>
      </c>
      <c r="Y14">
        <v>40.71296771105898</v>
      </c>
    </row>
    <row r="15" spans="1:25" x14ac:dyDescent="0.3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254.4230177117673</v>
      </c>
      <c r="H17">
        <v>174.4279142011855</v>
      </c>
      <c r="I17">
        <v>32.662575232060689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200.57419116778419</v>
      </c>
    </row>
    <row r="18" spans="1:25" x14ac:dyDescent="0.3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40</v>
      </c>
      <c r="B20">
        <v>0</v>
      </c>
      <c r="C20">
        <v>204.84410318486849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38.315685887509296</v>
      </c>
      <c r="T20">
        <v>0</v>
      </c>
      <c r="U20">
        <v>90.880789824319166</v>
      </c>
      <c r="V20">
        <v>118.74480732377179</v>
      </c>
      <c r="W20">
        <v>0</v>
      </c>
      <c r="X20">
        <v>209.30231209233</v>
      </c>
      <c r="Y20">
        <v>0</v>
      </c>
    </row>
    <row r="21" spans="1:25" x14ac:dyDescent="0.3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174.42791420118559</v>
      </c>
      <c r="I23">
        <v>32.662575232060803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38.315685887509296</v>
      </c>
      <c r="T23">
        <v>60.693109574574073</v>
      </c>
      <c r="U23">
        <v>90.880789824319166</v>
      </c>
      <c r="V23">
        <v>167.3234698839959</v>
      </c>
      <c r="W23">
        <v>97.784153709154253</v>
      </c>
      <c r="X23">
        <v>0</v>
      </c>
      <c r="Y23">
        <v>0</v>
      </c>
    </row>
    <row r="24" spans="1:25" x14ac:dyDescent="0.3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46</v>
      </c>
      <c r="B26">
        <v>0</v>
      </c>
      <c r="C26">
        <v>238.56199160037681</v>
      </c>
      <c r="D26">
        <v>227.97214145005219</v>
      </c>
      <c r="E26">
        <v>0</v>
      </c>
      <c r="F26">
        <v>0</v>
      </c>
      <c r="G26">
        <v>0</v>
      </c>
      <c r="H26">
        <v>208.14580261669391</v>
      </c>
      <c r="I26">
        <v>66.380463647569115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222.5300685467823</v>
      </c>
      <c r="X26">
        <v>0</v>
      </c>
      <c r="Y26">
        <v>204.26555668394781</v>
      </c>
    </row>
    <row r="27" spans="1:25" x14ac:dyDescent="0.3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49</v>
      </c>
      <c r="B29">
        <v>222.5821878901244</v>
      </c>
      <c r="C29">
        <v>205.12123799765141</v>
      </c>
      <c r="D29">
        <v>0</v>
      </c>
      <c r="E29">
        <v>0</v>
      </c>
      <c r="F29">
        <v>238.5412946167649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61</v>
      </c>
      <c r="B41">
        <v>0</v>
      </c>
      <c r="C41">
        <v>0</v>
      </c>
      <c r="D41">
        <v>241.77730808249501</v>
      </c>
      <c r="E41">
        <v>269.02463653407381</v>
      </c>
      <c r="F41">
        <v>293.97031220352352</v>
      </c>
      <c r="G41">
        <v>287.9805581699452</v>
      </c>
      <c r="H41">
        <v>221.95096924913659</v>
      </c>
      <c r="I41">
        <v>80.185630280011836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85.838740935460336</v>
      </c>
      <c r="T41">
        <v>0</v>
      </c>
      <c r="U41">
        <v>138.40384487227021</v>
      </c>
      <c r="V41">
        <v>214.8465249319469</v>
      </c>
      <c r="W41">
        <v>0</v>
      </c>
      <c r="X41">
        <v>0</v>
      </c>
      <c r="Y41">
        <v>0</v>
      </c>
    </row>
    <row r="42" spans="1:25" x14ac:dyDescent="0.3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63</v>
      </c>
      <c r="B43">
        <v>0</v>
      </c>
      <c r="C43">
        <v>54.341087560439831</v>
      </c>
      <c r="D43">
        <v>35.709739480024353</v>
      </c>
      <c r="E43">
        <v>33.528229108381169</v>
      </c>
      <c r="F43">
        <v>32.515314484743243</v>
      </c>
      <c r="G43">
        <v>54.882973600083581</v>
      </c>
      <c r="H43">
        <v>47.523055047951019</v>
      </c>
      <c r="I43">
        <v>36.461864076532223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34.163953292585063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64</v>
      </c>
      <c r="B44">
        <v>0</v>
      </c>
      <c r="C44">
        <v>0</v>
      </c>
      <c r="D44">
        <v>0</v>
      </c>
      <c r="E44">
        <v>302.46539013679921</v>
      </c>
      <c r="F44">
        <v>327.41106580624893</v>
      </c>
      <c r="G44">
        <v>335.38682636244391</v>
      </c>
      <c r="H44">
        <v>255.39172285186211</v>
      </c>
      <c r="I44">
        <v>113.6263838827372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42.07832993145027</v>
      </c>
      <c r="S44">
        <v>42.684557646048482</v>
      </c>
      <c r="T44">
        <v>141.65691822525051</v>
      </c>
      <c r="U44">
        <v>0</v>
      </c>
      <c r="V44">
        <v>248.28727853467231</v>
      </c>
      <c r="W44">
        <v>269.77598878195039</v>
      </c>
      <c r="X44">
        <v>290.26612074300652</v>
      </c>
      <c r="Y44">
        <v>0</v>
      </c>
    </row>
    <row r="45" spans="1:25" x14ac:dyDescent="0.3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66</v>
      </c>
      <c r="B46">
        <v>100.3670002464747</v>
      </c>
      <c r="C46">
        <v>87.78184116316524</v>
      </c>
      <c r="D46">
        <v>69.150493082749762</v>
      </c>
      <c r="E46">
        <v>66.968982711106577</v>
      </c>
      <c r="F46">
        <v>65.956068087468651</v>
      </c>
      <c r="G46">
        <v>88.323727202808982</v>
      </c>
      <c r="H46">
        <v>80.963808650676427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88.733516886745207</v>
      </c>
      <c r="S46">
        <v>141.02656495515669</v>
      </c>
      <c r="T46">
        <v>130.26551576540791</v>
      </c>
      <c r="U46">
        <v>206.84301639083631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16"/>
  <sheetViews>
    <sheetView workbookViewId="0"/>
  </sheetViews>
  <sheetFormatPr defaultRowHeight="14.5" x14ac:dyDescent="0.35"/>
  <sheetData>
    <row r="1" spans="1:2" x14ac:dyDescent="0.35">
      <c r="B1" s="1" t="s">
        <v>67</v>
      </c>
    </row>
    <row r="2" spans="1:2" x14ac:dyDescent="0.35">
      <c r="A2" s="1">
        <v>0</v>
      </c>
      <c r="B2">
        <v>615781.32739821274</v>
      </c>
    </row>
    <row r="3" spans="1:2" x14ac:dyDescent="0.35">
      <c r="A3" s="1">
        <v>1</v>
      </c>
      <c r="B3">
        <v>615781.32739821274</v>
      </c>
    </row>
    <row r="4" spans="1:2" x14ac:dyDescent="0.35">
      <c r="A4" s="1">
        <v>2</v>
      </c>
      <c r="B4">
        <v>615781.32739821274</v>
      </c>
    </row>
    <row r="5" spans="1:2" x14ac:dyDescent="0.35">
      <c r="A5" s="1">
        <v>3</v>
      </c>
      <c r="B5">
        <v>519170.99946643593</v>
      </c>
    </row>
    <row r="6" spans="1:2" x14ac:dyDescent="0.35">
      <c r="A6" s="1">
        <v>4</v>
      </c>
      <c r="B6">
        <v>519170.99946643593</v>
      </c>
    </row>
    <row r="7" spans="1:2" x14ac:dyDescent="0.35">
      <c r="A7" s="1">
        <v>5</v>
      </c>
      <c r="B7">
        <v>576254.69180893863</v>
      </c>
    </row>
    <row r="8" spans="1:2" x14ac:dyDescent="0.35">
      <c r="A8" s="1">
        <v>6</v>
      </c>
      <c r="B8">
        <v>576254.69180893863</v>
      </c>
    </row>
    <row r="9" spans="1:2" x14ac:dyDescent="0.35">
      <c r="A9" s="1">
        <v>7</v>
      </c>
      <c r="B9">
        <v>576254.69180893863</v>
      </c>
    </row>
    <row r="10" spans="1:2" x14ac:dyDescent="0.35">
      <c r="A10" s="1">
        <v>8</v>
      </c>
      <c r="B10">
        <v>546060.32273285103</v>
      </c>
    </row>
    <row r="11" spans="1:2" x14ac:dyDescent="0.35">
      <c r="A11" s="1">
        <v>9</v>
      </c>
      <c r="B11">
        <v>576006.51758409175</v>
      </c>
    </row>
    <row r="12" spans="1:2" x14ac:dyDescent="0.35">
      <c r="A12" s="1">
        <v>10</v>
      </c>
      <c r="B12">
        <v>615781.32739821274</v>
      </c>
    </row>
    <row r="13" spans="1:2" x14ac:dyDescent="0.35">
      <c r="A13" s="1">
        <v>11</v>
      </c>
      <c r="B13">
        <v>615781.32739821274</v>
      </c>
    </row>
    <row r="14" spans="1:2" x14ac:dyDescent="0.35">
      <c r="A14" s="1">
        <v>12</v>
      </c>
      <c r="B14">
        <v>615781.32739821274</v>
      </c>
    </row>
    <row r="15" spans="1:2" x14ac:dyDescent="0.35">
      <c r="A15" s="1">
        <v>13</v>
      </c>
      <c r="B15">
        <v>500368.53754054522</v>
      </c>
    </row>
    <row r="16" spans="1:2" x14ac:dyDescent="0.35">
      <c r="A16" s="1">
        <v>14</v>
      </c>
      <c r="B16">
        <v>454075.35196636838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Costs and Revenues</vt:lpstr>
      <vt:lpstr>Connected Households</vt:lpstr>
      <vt:lpstr>Installed Capacities</vt:lpstr>
      <vt:lpstr>Added Capacities</vt:lpstr>
      <vt:lpstr>Retired Capacities</vt:lpstr>
      <vt:lpstr>DG Dispatch</vt:lpstr>
      <vt:lpstr>PV Dispatch</vt:lpstr>
      <vt:lpstr>Battery Input </vt:lpstr>
      <vt:lpstr>Battery Output</vt:lpstr>
      <vt:lpstr>State of Charge</vt:lpstr>
      <vt:lpstr>Fed-in Capacity</vt:lpstr>
      <vt:lpstr>Yearly demand</vt:lpstr>
      <vt:lpstr>Net demand</vt:lpstr>
      <vt:lpstr>Net surplus</vt:lpstr>
      <vt:lpstr>Unmet Demand</vt:lpstr>
      <vt:lpstr>Household Surplus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Elsa Bou Gebrael (Student)</cp:lastModifiedBy>
  <dcterms:created xsi:type="dcterms:W3CDTF">2025-09-08T08:13:53Z</dcterms:created>
  <dcterms:modified xsi:type="dcterms:W3CDTF">2025-11-14T06:49:16Z</dcterms:modified>
</cp:coreProperties>
</file>